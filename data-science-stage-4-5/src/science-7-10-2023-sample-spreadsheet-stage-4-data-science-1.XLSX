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166925"/>
  <mc:AlternateContent xmlns:mc="http://schemas.openxmlformats.org/markup-compatibility/2006">
    <mc:Choice Requires="x15">
      <x15ac:absPath xmlns:x15ac="http://schemas.microsoft.com/office/spreadsheetml/2010/11/ac" url="C:\Users\cameronm\Desktop\Rolling pubs\"/>
    </mc:Choice>
  </mc:AlternateContent>
  <xr:revisionPtr revIDLastSave="0" documentId="13_ncr:1_{E36F8EC4-19A1-4B17-B452-F85EEA2EE406}" xr6:coauthVersionLast="47" xr6:coauthVersionMax="47" xr10:uidLastSave="{00000000-0000-0000-0000-000000000000}"/>
  <bookViews>
    <workbookView xWindow="-120" yWindow="-120" windowWidth="29040" windowHeight="15840" xr2:uid="{AAE4E5EC-70C6-4F37-974B-E3B4940A8946}"/>
  </bookViews>
  <sheets>
    <sheet name="Introduction" sheetId="2" r:id="rId1"/>
    <sheet name="Class data set analysis"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7" i="1" l="1"/>
  <c r="C35" i="1"/>
  <c r="D35" i="1"/>
  <c r="E35" i="1"/>
  <c r="F35" i="1"/>
  <c r="C36" i="1"/>
  <c r="D36" i="1"/>
  <c r="E36" i="1"/>
  <c r="F36" i="1"/>
  <c r="C37" i="1"/>
  <c r="D37" i="1"/>
  <c r="E37" i="1"/>
  <c r="F37" i="1"/>
  <c r="B36" i="1"/>
  <c r="B35" i="1"/>
  <c r="F34" i="1"/>
  <c r="F38" i="1" s="1"/>
  <c r="E34" i="1"/>
  <c r="E38" i="1" s="1"/>
  <c r="D34" i="1"/>
  <c r="D38" i="1" s="1"/>
  <c r="C34" i="1"/>
  <c r="C38" i="1" s="1"/>
  <c r="B34" i="1"/>
  <c r="B38" i="1" s="1"/>
</calcChain>
</file>

<file path=xl/sharedStrings.xml><?xml version="1.0" encoding="utf-8"?>
<sst xmlns="http://schemas.openxmlformats.org/spreadsheetml/2006/main" count="18" uniqueCount="18">
  <si>
    <t>Student</t>
  </si>
  <si>
    <t>mean</t>
  </si>
  <si>
    <t>median</t>
  </si>
  <si>
    <t>mode</t>
  </si>
  <si>
    <t>range</t>
  </si>
  <si>
    <t>Distance from basketball hoop</t>
  </si>
  <si>
    <t>Users are able to view the data and the formulas but cannot edit the sheet directly.</t>
  </si>
  <si>
    <t>This bivariate dataset is large enough to require analysis tools to calculate mean, median, mode and range, and for data to be represented graphically.</t>
  </si>
  <si>
    <t>This dataset shows how data can be collected, recorded and analysed so that patterns can be identified, and it can be determined whether the data is consistent with an initial prediction.</t>
  </si>
  <si>
    <t xml:space="preserve">NSW Education Standards Authority	 </t>
  </si>
  <si>
    <t>This spreadsheet contains sample data collected during a class investigation into how distance from the hoop affects the accuracy of basketball shots.</t>
  </si>
  <si>
    <t>1.5 m</t>
  </si>
  <si>
    <t>3 m</t>
  </si>
  <si>
    <t>4.5 m</t>
  </si>
  <si>
    <t>6 m</t>
  </si>
  <si>
    <t>7.5 m</t>
  </si>
  <si>
    <t>Number of successful attempts</t>
  </si>
  <si>
    <t>accuracy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</si>
</sst>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Calibri"/>
      <family val="2"/>
      <scheme val="minor"/>
    </font>
    <font>
      <sz val="11"/>
      <color theme="1"/>
      <name val="Arial"/>
      <family val="2"/>
    </font>
    <font>
      <b/>
      <sz val="11"/>
      <color rgb="FF002060"/>
      <name val="Arial"/>
      <family val="2"/>
    </font>
    <font>
      <sz val="11"/>
      <name val="Arial"/>
      <family val="2"/>
    </font>
    <font>
      <b/>
      <sz val="20"/>
      <color rgb="FF002060"/>
      <name val="Arial"/>
      <family val="2"/>
    </font>
    <font>
      <b/>
      <sz val="14"/>
      <color rgb="FF002060"/>
      <name val="Arial"/>
      <family val="2"/>
    </font>
  </fonts>
  <fills count="3">
    <fill>
      <patternFill patternType="none"/>
    </fill>
    <fill>
      <patternFill patternType="gray125"/>
    </fill>
    <fill>
      <patternFill patternType="solid">
        <fgColor theme="8" tint="0.59999389629810485"/>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thin">
        <color rgb="FFC00000"/>
      </bottom>
      <diagonal/>
    </border>
    <border>
      <left style="thin">
        <color rgb="FFC00000"/>
      </left>
      <right style="thin">
        <color rgb="FFC00000"/>
      </right>
      <top/>
      <bottom/>
      <diagonal/>
    </border>
    <border>
      <left style="thin">
        <color rgb="FFC00000"/>
      </left>
      <right style="thin">
        <color rgb="FFC00000"/>
      </right>
      <top style="thin">
        <color rgb="FFC00000"/>
      </top>
      <bottom/>
      <diagonal/>
    </border>
    <border>
      <left style="thin">
        <color rgb="FFC00000"/>
      </left>
      <right style="thin">
        <color rgb="FFC00000"/>
      </right>
      <top/>
      <bottom style="thin">
        <color rgb="FFC00000"/>
      </bottom>
      <diagonal/>
    </border>
  </borders>
  <cellStyleXfs count="1">
    <xf numFmtId="0" fontId="0" fillId="0" borderId="0"/>
  </cellStyleXfs>
  <cellXfs count="12">
    <xf numFmtId="0" fontId="0" fillId="0" borderId="0" xfId="0"/>
    <xf numFmtId="0" fontId="1" fillId="0" borderId="0" xfId="0" applyFont="1"/>
    <xf numFmtId="0" fontId="1" fillId="0" borderId="1" xfId="0" applyFont="1" applyBorder="1"/>
    <xf numFmtId="0" fontId="2" fillId="0" borderId="1" xfId="0" applyFont="1" applyBorder="1"/>
    <xf numFmtId="164" fontId="2" fillId="0" borderId="1" xfId="0" applyNumberFormat="1" applyFont="1" applyBorder="1"/>
    <xf numFmtId="0" fontId="0" fillId="0" borderId="3" xfId="0" applyBorder="1"/>
    <xf numFmtId="0" fontId="4" fillId="0" borderId="1" xfId="0" applyFont="1" applyBorder="1" applyAlignment="1">
      <alignment horizontal="left" vertical="center"/>
    </xf>
    <xf numFmtId="0" fontId="3" fillId="2" borderId="5" xfId="0" applyFont="1" applyFill="1" applyBorder="1" applyAlignment="1">
      <alignment wrapText="1"/>
    </xf>
    <xf numFmtId="0" fontId="3" fillId="2" borderId="4" xfId="0" applyFont="1" applyFill="1" applyBorder="1" applyAlignment="1">
      <alignment wrapText="1"/>
    </xf>
    <xf numFmtId="0" fontId="3" fillId="2" borderId="6" xfId="0" applyFont="1" applyFill="1" applyBorder="1" applyAlignment="1">
      <alignment wrapText="1"/>
    </xf>
    <xf numFmtId="0" fontId="1" fillId="0" borderId="2" xfId="0" applyFont="1" applyBorder="1" applyAlignment="1">
      <alignment horizontal="center"/>
    </xf>
    <xf numFmtId="0" fontId="5"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'Class data set analysis'!$B$3</c:f>
              <c:strCache>
                <c:ptCount val="1"/>
                <c:pt idx="0">
                  <c:v>1.5 m</c:v>
                </c:pt>
              </c:strCache>
            </c:strRef>
          </c:tx>
          <c:spPr>
            <a:ln w="19050" cap="rnd">
              <a:noFill/>
              <a:round/>
            </a:ln>
            <a:effectLst/>
          </c:spPr>
          <c:marker>
            <c:symbol val="circle"/>
            <c:size val="5"/>
            <c:spPr>
              <a:solidFill>
                <a:schemeClr val="accent1"/>
              </a:solidFill>
              <a:ln w="9525">
                <a:solidFill>
                  <a:schemeClr val="accent1"/>
                </a:solidFill>
              </a:ln>
              <a:effectLst/>
            </c:spPr>
          </c:marker>
          <c:yVal>
            <c:numRef>
              <c:f>'Class data set analysis'!$B$4:$B$33</c:f>
              <c:numCache>
                <c:formatCode>General</c:formatCode>
                <c:ptCount val="30"/>
                <c:pt idx="0">
                  <c:v>7</c:v>
                </c:pt>
                <c:pt idx="1">
                  <c:v>6</c:v>
                </c:pt>
                <c:pt idx="2">
                  <c:v>6</c:v>
                </c:pt>
                <c:pt idx="3">
                  <c:v>8</c:v>
                </c:pt>
                <c:pt idx="4">
                  <c:v>4</c:v>
                </c:pt>
                <c:pt idx="5">
                  <c:v>5</c:v>
                </c:pt>
                <c:pt idx="6">
                  <c:v>8</c:v>
                </c:pt>
                <c:pt idx="7">
                  <c:v>6</c:v>
                </c:pt>
                <c:pt idx="8">
                  <c:v>7</c:v>
                </c:pt>
                <c:pt idx="9">
                  <c:v>6</c:v>
                </c:pt>
                <c:pt idx="10">
                  <c:v>7</c:v>
                </c:pt>
                <c:pt idx="11">
                  <c:v>5</c:v>
                </c:pt>
                <c:pt idx="12">
                  <c:v>6</c:v>
                </c:pt>
                <c:pt idx="13">
                  <c:v>9</c:v>
                </c:pt>
                <c:pt idx="14">
                  <c:v>7</c:v>
                </c:pt>
                <c:pt idx="15">
                  <c:v>5</c:v>
                </c:pt>
                <c:pt idx="16">
                  <c:v>4</c:v>
                </c:pt>
                <c:pt idx="17">
                  <c:v>8</c:v>
                </c:pt>
                <c:pt idx="18">
                  <c:v>5</c:v>
                </c:pt>
                <c:pt idx="19">
                  <c:v>6</c:v>
                </c:pt>
                <c:pt idx="20">
                  <c:v>7</c:v>
                </c:pt>
                <c:pt idx="21">
                  <c:v>8</c:v>
                </c:pt>
                <c:pt idx="22">
                  <c:v>9</c:v>
                </c:pt>
                <c:pt idx="23">
                  <c:v>6</c:v>
                </c:pt>
                <c:pt idx="24">
                  <c:v>5</c:v>
                </c:pt>
                <c:pt idx="25">
                  <c:v>5</c:v>
                </c:pt>
                <c:pt idx="26">
                  <c:v>6</c:v>
                </c:pt>
                <c:pt idx="27">
                  <c:v>7</c:v>
                </c:pt>
                <c:pt idx="28">
                  <c:v>5</c:v>
                </c:pt>
                <c:pt idx="29">
                  <c:v>4</c:v>
                </c:pt>
              </c:numCache>
            </c:numRef>
          </c:yVal>
          <c:smooth val="0"/>
          <c:extLst>
            <c:ext xmlns:c16="http://schemas.microsoft.com/office/drawing/2014/chart" uri="{C3380CC4-5D6E-409C-BE32-E72D297353CC}">
              <c16:uniqueId val="{00000000-EA69-455F-9F69-12519F8B67E7}"/>
            </c:ext>
          </c:extLst>
        </c:ser>
        <c:dLbls>
          <c:showLegendKey val="0"/>
          <c:showVal val="0"/>
          <c:showCatName val="0"/>
          <c:showSerName val="0"/>
          <c:showPercent val="0"/>
          <c:showBubbleSize val="0"/>
        </c:dLbls>
        <c:axId val="1720018176"/>
        <c:axId val="1720004032"/>
      </c:scatterChart>
      <c:valAx>
        <c:axId val="17200181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Student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004032"/>
        <c:crosses val="autoZero"/>
        <c:crossBetween val="midCat"/>
      </c:valAx>
      <c:valAx>
        <c:axId val="17200040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Number of succesful attempts</a:t>
                </a:r>
              </a:p>
            </c:rich>
          </c:tx>
          <c:layout>
            <c:manualLayout>
              <c:xMode val="edge"/>
              <c:yMode val="edge"/>
              <c:x val="3.9927404718693285E-2"/>
              <c:y val="0.12861723509369055"/>
            </c:manualLayout>
          </c:layout>
          <c:overlay val="0"/>
          <c:spPr>
            <a:noFill/>
            <a:ln w="50800">
              <a:solidFill>
                <a:schemeClr val="bg1"/>
              </a:solid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01817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45902874862812409"/>
          <c:y val="4.033613445378151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'Class data set analysis'!$C$3</c:f>
              <c:strCache>
                <c:ptCount val="1"/>
                <c:pt idx="0">
                  <c:v>3 m</c:v>
                </c:pt>
              </c:strCache>
            </c:strRef>
          </c:tx>
          <c:spPr>
            <a:ln w="19050" cap="rnd">
              <a:noFill/>
              <a:round/>
            </a:ln>
            <a:effectLst/>
          </c:spPr>
          <c:marker>
            <c:symbol val="circle"/>
            <c:size val="5"/>
            <c:spPr>
              <a:solidFill>
                <a:schemeClr val="accent1"/>
              </a:solidFill>
              <a:ln w="9525">
                <a:solidFill>
                  <a:schemeClr val="accent1"/>
                </a:solidFill>
              </a:ln>
              <a:effectLst/>
            </c:spPr>
          </c:marker>
          <c:yVal>
            <c:numRef>
              <c:f>'Class data set analysis'!$C$4:$C$33</c:f>
              <c:numCache>
                <c:formatCode>General</c:formatCode>
                <c:ptCount val="30"/>
                <c:pt idx="0">
                  <c:v>6</c:v>
                </c:pt>
                <c:pt idx="1">
                  <c:v>6</c:v>
                </c:pt>
                <c:pt idx="2">
                  <c:v>5</c:v>
                </c:pt>
                <c:pt idx="3">
                  <c:v>6</c:v>
                </c:pt>
                <c:pt idx="4">
                  <c:v>4</c:v>
                </c:pt>
                <c:pt idx="5">
                  <c:v>6</c:v>
                </c:pt>
                <c:pt idx="6">
                  <c:v>5</c:v>
                </c:pt>
                <c:pt idx="7">
                  <c:v>7</c:v>
                </c:pt>
                <c:pt idx="8">
                  <c:v>6</c:v>
                </c:pt>
                <c:pt idx="9">
                  <c:v>5</c:v>
                </c:pt>
                <c:pt idx="10">
                  <c:v>4</c:v>
                </c:pt>
                <c:pt idx="11">
                  <c:v>5</c:v>
                </c:pt>
                <c:pt idx="12">
                  <c:v>5</c:v>
                </c:pt>
                <c:pt idx="13">
                  <c:v>8</c:v>
                </c:pt>
                <c:pt idx="14">
                  <c:v>8</c:v>
                </c:pt>
                <c:pt idx="15">
                  <c:v>6</c:v>
                </c:pt>
                <c:pt idx="16">
                  <c:v>5</c:v>
                </c:pt>
                <c:pt idx="17">
                  <c:v>7</c:v>
                </c:pt>
                <c:pt idx="18">
                  <c:v>6</c:v>
                </c:pt>
                <c:pt idx="19">
                  <c:v>4</c:v>
                </c:pt>
                <c:pt idx="20">
                  <c:v>6</c:v>
                </c:pt>
                <c:pt idx="21">
                  <c:v>7</c:v>
                </c:pt>
                <c:pt idx="22">
                  <c:v>9</c:v>
                </c:pt>
                <c:pt idx="23">
                  <c:v>7</c:v>
                </c:pt>
                <c:pt idx="24">
                  <c:v>6</c:v>
                </c:pt>
                <c:pt idx="25">
                  <c:v>4</c:v>
                </c:pt>
                <c:pt idx="26">
                  <c:v>3</c:v>
                </c:pt>
                <c:pt idx="27">
                  <c:v>5</c:v>
                </c:pt>
                <c:pt idx="28">
                  <c:v>7</c:v>
                </c:pt>
                <c:pt idx="29">
                  <c:v>3</c:v>
                </c:pt>
              </c:numCache>
            </c:numRef>
          </c:yVal>
          <c:smooth val="0"/>
          <c:extLst>
            <c:ext xmlns:c16="http://schemas.microsoft.com/office/drawing/2014/chart" uri="{C3380CC4-5D6E-409C-BE32-E72D297353CC}">
              <c16:uniqueId val="{00000000-3B34-4097-A8D7-A59CE61C0C76}"/>
            </c:ext>
          </c:extLst>
        </c:ser>
        <c:dLbls>
          <c:showLegendKey val="0"/>
          <c:showVal val="0"/>
          <c:showCatName val="0"/>
          <c:showSerName val="0"/>
          <c:showPercent val="0"/>
          <c:showBubbleSize val="0"/>
        </c:dLbls>
        <c:axId val="1559840000"/>
        <c:axId val="1559819200"/>
      </c:scatterChart>
      <c:valAx>
        <c:axId val="15598400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Student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9819200"/>
        <c:crosses val="autoZero"/>
        <c:crossBetween val="midCat"/>
      </c:valAx>
      <c:valAx>
        <c:axId val="15598192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sz="1000" b="0" i="0" baseline="0">
                    <a:effectLst/>
                  </a:rPr>
                  <a:t>Number of successful attempts</a:t>
                </a:r>
                <a:endParaRPr lang="en-AU" sz="400">
                  <a:effectLst/>
                </a:endParaRPr>
              </a:p>
            </c:rich>
          </c:tx>
          <c:layout>
            <c:manualLayout>
              <c:xMode val="edge"/>
              <c:yMode val="edge"/>
              <c:x val="1.8709073900841908E-2"/>
              <c:y val="0.1125142857142856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984000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'Class data set analysis'!$D$3</c:f>
              <c:strCache>
                <c:ptCount val="1"/>
                <c:pt idx="0">
                  <c:v>4.5 m</c:v>
                </c:pt>
              </c:strCache>
            </c:strRef>
          </c:tx>
          <c:spPr>
            <a:ln w="19050" cap="rnd">
              <a:noFill/>
              <a:round/>
            </a:ln>
            <a:effectLst/>
          </c:spPr>
          <c:marker>
            <c:symbol val="circle"/>
            <c:size val="5"/>
            <c:spPr>
              <a:solidFill>
                <a:schemeClr val="accent1"/>
              </a:solidFill>
              <a:ln w="9525">
                <a:solidFill>
                  <a:schemeClr val="accent1"/>
                </a:solidFill>
              </a:ln>
              <a:effectLst/>
            </c:spPr>
          </c:marker>
          <c:yVal>
            <c:numRef>
              <c:f>'Class data set analysis'!$D$4:$D$33</c:f>
              <c:numCache>
                <c:formatCode>General</c:formatCode>
                <c:ptCount val="30"/>
                <c:pt idx="0">
                  <c:v>5</c:v>
                </c:pt>
                <c:pt idx="1">
                  <c:v>6</c:v>
                </c:pt>
                <c:pt idx="2">
                  <c:v>4</c:v>
                </c:pt>
                <c:pt idx="3">
                  <c:v>4</c:v>
                </c:pt>
                <c:pt idx="4">
                  <c:v>4</c:v>
                </c:pt>
                <c:pt idx="5">
                  <c:v>4</c:v>
                </c:pt>
                <c:pt idx="6">
                  <c:v>7</c:v>
                </c:pt>
                <c:pt idx="7">
                  <c:v>8</c:v>
                </c:pt>
                <c:pt idx="8">
                  <c:v>5</c:v>
                </c:pt>
                <c:pt idx="9">
                  <c:v>4</c:v>
                </c:pt>
                <c:pt idx="10">
                  <c:v>6</c:v>
                </c:pt>
                <c:pt idx="11">
                  <c:v>5</c:v>
                </c:pt>
                <c:pt idx="12">
                  <c:v>4</c:v>
                </c:pt>
                <c:pt idx="13">
                  <c:v>7</c:v>
                </c:pt>
                <c:pt idx="14">
                  <c:v>9</c:v>
                </c:pt>
                <c:pt idx="15">
                  <c:v>7</c:v>
                </c:pt>
                <c:pt idx="16">
                  <c:v>6</c:v>
                </c:pt>
                <c:pt idx="17">
                  <c:v>6</c:v>
                </c:pt>
                <c:pt idx="18">
                  <c:v>7</c:v>
                </c:pt>
                <c:pt idx="19">
                  <c:v>2</c:v>
                </c:pt>
                <c:pt idx="20">
                  <c:v>5</c:v>
                </c:pt>
                <c:pt idx="21">
                  <c:v>6</c:v>
                </c:pt>
                <c:pt idx="22">
                  <c:v>9</c:v>
                </c:pt>
                <c:pt idx="23">
                  <c:v>8</c:v>
                </c:pt>
                <c:pt idx="24">
                  <c:v>7</c:v>
                </c:pt>
                <c:pt idx="25">
                  <c:v>3</c:v>
                </c:pt>
                <c:pt idx="26">
                  <c:v>5</c:v>
                </c:pt>
                <c:pt idx="27">
                  <c:v>3</c:v>
                </c:pt>
                <c:pt idx="28">
                  <c:v>9</c:v>
                </c:pt>
                <c:pt idx="29">
                  <c:v>2</c:v>
                </c:pt>
              </c:numCache>
            </c:numRef>
          </c:yVal>
          <c:smooth val="0"/>
          <c:extLst>
            <c:ext xmlns:c16="http://schemas.microsoft.com/office/drawing/2014/chart" uri="{C3380CC4-5D6E-409C-BE32-E72D297353CC}">
              <c16:uniqueId val="{00000000-886D-4F45-99EA-762F224BED21}"/>
            </c:ext>
          </c:extLst>
        </c:ser>
        <c:dLbls>
          <c:showLegendKey val="0"/>
          <c:showVal val="0"/>
          <c:showCatName val="0"/>
          <c:showSerName val="0"/>
          <c:showPercent val="0"/>
          <c:showBubbleSize val="0"/>
        </c:dLbls>
        <c:axId val="388618816"/>
        <c:axId val="388601344"/>
      </c:scatterChart>
      <c:valAx>
        <c:axId val="3886188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Student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601344"/>
        <c:crosses val="autoZero"/>
        <c:crossBetween val="midCat"/>
      </c:valAx>
      <c:valAx>
        <c:axId val="3886013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number of successful attempts</a:t>
                </a:r>
              </a:p>
            </c:rich>
          </c:tx>
          <c:layout>
            <c:manualLayout>
              <c:xMode val="edge"/>
              <c:yMode val="edge"/>
              <c:x val="4.11599625818522E-2"/>
              <c:y val="0.1484615384615384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61881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'Class data set analysis'!$E$3</c:f>
              <c:strCache>
                <c:ptCount val="1"/>
                <c:pt idx="0">
                  <c:v>6 m</c:v>
                </c:pt>
              </c:strCache>
            </c:strRef>
          </c:tx>
          <c:spPr>
            <a:ln w="19050" cap="rnd">
              <a:noFill/>
              <a:round/>
            </a:ln>
            <a:effectLst/>
          </c:spPr>
          <c:marker>
            <c:symbol val="circle"/>
            <c:size val="5"/>
            <c:spPr>
              <a:solidFill>
                <a:schemeClr val="accent1"/>
              </a:solidFill>
              <a:ln w="9525">
                <a:solidFill>
                  <a:schemeClr val="accent1"/>
                </a:solidFill>
              </a:ln>
              <a:effectLst/>
            </c:spPr>
          </c:marker>
          <c:yVal>
            <c:numRef>
              <c:f>'Class data set analysis'!$E$4:$E$33</c:f>
              <c:numCache>
                <c:formatCode>General</c:formatCode>
                <c:ptCount val="30"/>
                <c:pt idx="0">
                  <c:v>4</c:v>
                </c:pt>
                <c:pt idx="1">
                  <c:v>5</c:v>
                </c:pt>
                <c:pt idx="2">
                  <c:v>4</c:v>
                </c:pt>
                <c:pt idx="3">
                  <c:v>4</c:v>
                </c:pt>
                <c:pt idx="4">
                  <c:v>3</c:v>
                </c:pt>
                <c:pt idx="5">
                  <c:v>3</c:v>
                </c:pt>
                <c:pt idx="6">
                  <c:v>6</c:v>
                </c:pt>
                <c:pt idx="7">
                  <c:v>5</c:v>
                </c:pt>
                <c:pt idx="8">
                  <c:v>3</c:v>
                </c:pt>
                <c:pt idx="9">
                  <c:v>3</c:v>
                </c:pt>
                <c:pt idx="10">
                  <c:v>4</c:v>
                </c:pt>
                <c:pt idx="11">
                  <c:v>3</c:v>
                </c:pt>
                <c:pt idx="12">
                  <c:v>3</c:v>
                </c:pt>
                <c:pt idx="13">
                  <c:v>6</c:v>
                </c:pt>
                <c:pt idx="14">
                  <c:v>6</c:v>
                </c:pt>
                <c:pt idx="15">
                  <c:v>5</c:v>
                </c:pt>
                <c:pt idx="16">
                  <c:v>6</c:v>
                </c:pt>
                <c:pt idx="17">
                  <c:v>3</c:v>
                </c:pt>
                <c:pt idx="18">
                  <c:v>5</c:v>
                </c:pt>
                <c:pt idx="19">
                  <c:v>0</c:v>
                </c:pt>
                <c:pt idx="20">
                  <c:v>4</c:v>
                </c:pt>
                <c:pt idx="21">
                  <c:v>5</c:v>
                </c:pt>
                <c:pt idx="22">
                  <c:v>7</c:v>
                </c:pt>
                <c:pt idx="23">
                  <c:v>9</c:v>
                </c:pt>
                <c:pt idx="24">
                  <c:v>8</c:v>
                </c:pt>
                <c:pt idx="25">
                  <c:v>2</c:v>
                </c:pt>
                <c:pt idx="26">
                  <c:v>7</c:v>
                </c:pt>
                <c:pt idx="27">
                  <c:v>1</c:v>
                </c:pt>
                <c:pt idx="28">
                  <c:v>8</c:v>
                </c:pt>
                <c:pt idx="29">
                  <c:v>1</c:v>
                </c:pt>
              </c:numCache>
            </c:numRef>
          </c:yVal>
          <c:smooth val="0"/>
          <c:extLst>
            <c:ext xmlns:c16="http://schemas.microsoft.com/office/drawing/2014/chart" uri="{C3380CC4-5D6E-409C-BE32-E72D297353CC}">
              <c16:uniqueId val="{00000000-A0FB-4232-9B2E-2C27B442406E}"/>
            </c:ext>
          </c:extLst>
        </c:ser>
        <c:dLbls>
          <c:showLegendKey val="0"/>
          <c:showVal val="0"/>
          <c:showCatName val="0"/>
          <c:showSerName val="0"/>
          <c:showPercent val="0"/>
          <c:showBubbleSize val="0"/>
        </c:dLbls>
        <c:axId val="1726825632"/>
        <c:axId val="1726842688"/>
      </c:scatterChart>
      <c:valAx>
        <c:axId val="172682563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Student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6842688"/>
        <c:crosses val="autoZero"/>
        <c:crossBetween val="midCat"/>
      </c:valAx>
      <c:valAx>
        <c:axId val="17268426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Number of successful attempts</a:t>
                </a:r>
              </a:p>
            </c:rich>
          </c:tx>
          <c:layout>
            <c:manualLayout>
              <c:xMode val="edge"/>
              <c:yMode val="edge"/>
              <c:x val="4.1275797373358347E-2"/>
              <c:y val="0.1288046647230320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682563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'Class data set analysis'!$F$3</c:f>
              <c:strCache>
                <c:ptCount val="1"/>
                <c:pt idx="0">
                  <c:v>7.5 m</c:v>
                </c:pt>
              </c:strCache>
            </c:strRef>
          </c:tx>
          <c:spPr>
            <a:ln w="19050" cap="rnd">
              <a:noFill/>
              <a:round/>
            </a:ln>
            <a:effectLst/>
          </c:spPr>
          <c:marker>
            <c:symbol val="circle"/>
            <c:size val="5"/>
            <c:spPr>
              <a:solidFill>
                <a:schemeClr val="accent1"/>
              </a:solidFill>
              <a:ln w="9525">
                <a:solidFill>
                  <a:schemeClr val="accent1"/>
                </a:solidFill>
              </a:ln>
              <a:effectLst/>
            </c:spPr>
          </c:marker>
          <c:yVal>
            <c:numRef>
              <c:f>'Class data set analysis'!$F$4:$F$33</c:f>
              <c:numCache>
                <c:formatCode>General</c:formatCode>
                <c:ptCount val="30"/>
                <c:pt idx="0">
                  <c:v>2</c:v>
                </c:pt>
                <c:pt idx="1">
                  <c:v>3</c:v>
                </c:pt>
                <c:pt idx="2">
                  <c:v>3</c:v>
                </c:pt>
                <c:pt idx="3">
                  <c:v>5</c:v>
                </c:pt>
                <c:pt idx="4">
                  <c:v>1</c:v>
                </c:pt>
                <c:pt idx="5">
                  <c:v>2</c:v>
                </c:pt>
                <c:pt idx="6">
                  <c:v>5</c:v>
                </c:pt>
                <c:pt idx="7">
                  <c:v>3</c:v>
                </c:pt>
                <c:pt idx="8">
                  <c:v>4</c:v>
                </c:pt>
                <c:pt idx="9">
                  <c:v>3</c:v>
                </c:pt>
                <c:pt idx="10">
                  <c:v>4</c:v>
                </c:pt>
                <c:pt idx="11">
                  <c:v>2</c:v>
                </c:pt>
                <c:pt idx="12">
                  <c:v>3</c:v>
                </c:pt>
                <c:pt idx="13">
                  <c:v>6</c:v>
                </c:pt>
                <c:pt idx="14">
                  <c:v>4</c:v>
                </c:pt>
                <c:pt idx="15">
                  <c:v>2</c:v>
                </c:pt>
                <c:pt idx="16">
                  <c:v>1</c:v>
                </c:pt>
                <c:pt idx="17">
                  <c:v>5</c:v>
                </c:pt>
                <c:pt idx="18">
                  <c:v>2</c:v>
                </c:pt>
                <c:pt idx="19">
                  <c:v>3</c:v>
                </c:pt>
                <c:pt idx="20">
                  <c:v>4</c:v>
                </c:pt>
                <c:pt idx="21">
                  <c:v>5</c:v>
                </c:pt>
                <c:pt idx="22">
                  <c:v>6</c:v>
                </c:pt>
                <c:pt idx="23">
                  <c:v>3</c:v>
                </c:pt>
                <c:pt idx="24">
                  <c:v>2</c:v>
                </c:pt>
                <c:pt idx="25">
                  <c:v>3</c:v>
                </c:pt>
                <c:pt idx="26">
                  <c:v>3</c:v>
                </c:pt>
                <c:pt idx="27">
                  <c:v>3</c:v>
                </c:pt>
                <c:pt idx="28">
                  <c:v>2</c:v>
                </c:pt>
                <c:pt idx="29">
                  <c:v>1</c:v>
                </c:pt>
              </c:numCache>
            </c:numRef>
          </c:yVal>
          <c:smooth val="0"/>
          <c:extLst>
            <c:ext xmlns:c16="http://schemas.microsoft.com/office/drawing/2014/chart" uri="{C3380CC4-5D6E-409C-BE32-E72D297353CC}">
              <c16:uniqueId val="{00000000-93CA-4B98-A044-375DA4C50F66}"/>
            </c:ext>
          </c:extLst>
        </c:ser>
        <c:dLbls>
          <c:showLegendKey val="0"/>
          <c:showVal val="0"/>
          <c:showCatName val="0"/>
          <c:showSerName val="0"/>
          <c:showPercent val="0"/>
          <c:showBubbleSize val="0"/>
        </c:dLbls>
        <c:axId val="1626238496"/>
        <c:axId val="1626223936"/>
      </c:scatterChart>
      <c:valAx>
        <c:axId val="16262384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Student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6223936"/>
        <c:crosses val="autoZero"/>
        <c:crossBetween val="midCat"/>
      </c:valAx>
      <c:valAx>
        <c:axId val="16262239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Number of Successful</a:t>
                </a:r>
                <a:r>
                  <a:rPr lang="en-AU" baseline="0"/>
                  <a:t> attempts</a:t>
                </a:r>
                <a:endParaRPr lang="en-AU"/>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623849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5591175</xdr:colOff>
      <xdr:row>0</xdr:row>
      <xdr:rowOff>133350</xdr:rowOff>
    </xdr:from>
    <xdr:to>
      <xdr:col>0</xdr:col>
      <xdr:colOff>6248400</xdr:colOff>
      <xdr:row>0</xdr:row>
      <xdr:rowOff>835025</xdr:rowOff>
    </xdr:to>
    <xdr:pic>
      <xdr:nvPicPr>
        <xdr:cNvPr id="3" name="Picture 2" descr="NSW Government logo" title="NSW Government logo">
          <a:extLst>
            <a:ext uri="{FF2B5EF4-FFF2-40B4-BE49-F238E27FC236}">
              <a16:creationId xmlns:a16="http://schemas.microsoft.com/office/drawing/2014/main" id="{B64C577A-792A-1F00-83BC-0B5143FF28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91175" y="133350"/>
          <a:ext cx="657225" cy="701675"/>
        </a:xfrm>
        <a:prstGeom prst="rect">
          <a:avLst/>
        </a:prstGeom>
        <a:extLst>
          <a:ext uri="{FAA26D3D-D897-4be2-8F04-BA451C77F1D7}">
            <ma14:placeholder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oel="http://schemas.microsoft.com/office/2019/extlst"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pic="http://schemas.openxmlformats.org/drawingml/2006/picture" xmlns="" xmlns:mo="http://schemas.microsoft.com/office/mac/office/2008/main" xmlns:mv="urn:schemas-microsoft-com:mac:vml" xmlns:o="urn:schemas-microsoft-com:office:office" xmlns:v="urn:schemas-microsoft-com:vml" xmlns:w10="urn:schemas-microsoft-com:office:word" xmlns:w="http://schemas.openxmlformats.org/wordprocessingml/2006/main" xmlns:ma14="http://schemas.microsoft.com/office/mac/drawingml/2011/main" xmlns:arto="http://schemas.microsoft.com/office/word/2006/arto" xmlns:a14="http://schemas.microsoft.com/office/drawing/2010/main" xmlns:lc="http://schemas.openxmlformats.org/drawingml/2006/lockedCanvas"/>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282575</xdr:colOff>
      <xdr:row>2</xdr:row>
      <xdr:rowOff>6350</xdr:rowOff>
    </xdr:from>
    <xdr:to>
      <xdr:col>12</xdr:col>
      <xdr:colOff>123825</xdr:colOff>
      <xdr:row>13</xdr:row>
      <xdr:rowOff>180974</xdr:rowOff>
    </xdr:to>
    <xdr:graphicFrame macro="">
      <xdr:nvGraphicFramePr>
        <xdr:cNvPr id="2" name="Chart 1">
          <a:extLst>
            <a:ext uri="{FF2B5EF4-FFF2-40B4-BE49-F238E27FC236}">
              <a16:creationId xmlns:a16="http://schemas.microsoft.com/office/drawing/2014/main" id="{982AA655-CB0C-2F40-42AF-514D707F1C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15875</xdr:colOff>
      <xdr:row>1</xdr:row>
      <xdr:rowOff>171449</xdr:rowOff>
    </xdr:from>
    <xdr:to>
      <xdr:col>18</xdr:col>
      <xdr:colOff>514350</xdr:colOff>
      <xdr:row>14</xdr:row>
      <xdr:rowOff>3174</xdr:rowOff>
    </xdr:to>
    <xdr:graphicFrame macro="">
      <xdr:nvGraphicFramePr>
        <xdr:cNvPr id="3" name="Chart 2">
          <a:extLst>
            <a:ext uri="{FF2B5EF4-FFF2-40B4-BE49-F238E27FC236}">
              <a16:creationId xmlns:a16="http://schemas.microsoft.com/office/drawing/2014/main" id="{59C9268D-F0E6-DB2B-C62C-DFDCF56888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263525</xdr:colOff>
      <xdr:row>15</xdr:row>
      <xdr:rowOff>0</xdr:rowOff>
    </xdr:from>
    <xdr:to>
      <xdr:col>12</xdr:col>
      <xdr:colOff>133350</xdr:colOff>
      <xdr:row>27</xdr:row>
      <xdr:rowOff>19050</xdr:rowOff>
    </xdr:to>
    <xdr:graphicFrame macro="">
      <xdr:nvGraphicFramePr>
        <xdr:cNvPr id="4" name="Chart 3">
          <a:extLst>
            <a:ext uri="{FF2B5EF4-FFF2-40B4-BE49-F238E27FC236}">
              <a16:creationId xmlns:a16="http://schemas.microsoft.com/office/drawing/2014/main" id="{0A5B9B64-5DB4-489E-67E0-D344DC33D4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19050</xdr:colOff>
      <xdr:row>15</xdr:row>
      <xdr:rowOff>6350</xdr:rowOff>
    </xdr:from>
    <xdr:to>
      <xdr:col>18</xdr:col>
      <xdr:colOff>552450</xdr:colOff>
      <xdr:row>27</xdr:row>
      <xdr:rowOff>19050</xdr:rowOff>
    </xdr:to>
    <xdr:graphicFrame macro="">
      <xdr:nvGraphicFramePr>
        <xdr:cNvPr id="5" name="Chart 4">
          <a:extLst>
            <a:ext uri="{FF2B5EF4-FFF2-40B4-BE49-F238E27FC236}">
              <a16:creationId xmlns:a16="http://schemas.microsoft.com/office/drawing/2014/main" id="{437D8A23-249F-D3BE-7E37-4ABF48EC62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393699</xdr:colOff>
      <xdr:row>28</xdr:row>
      <xdr:rowOff>15875</xdr:rowOff>
    </xdr:from>
    <xdr:to>
      <xdr:col>15</xdr:col>
      <xdr:colOff>327024</xdr:colOff>
      <xdr:row>40</xdr:row>
      <xdr:rowOff>66675</xdr:rowOff>
    </xdr:to>
    <xdr:graphicFrame macro="">
      <xdr:nvGraphicFramePr>
        <xdr:cNvPr id="6" name="Chart 5">
          <a:extLst>
            <a:ext uri="{FF2B5EF4-FFF2-40B4-BE49-F238E27FC236}">
              <a16:creationId xmlns:a16="http://schemas.microsoft.com/office/drawing/2014/main" id="{0EDDC644-C684-D8D1-8CAC-D4FFD5E730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ADF25-5082-48E6-8979-9B17938266AD}">
  <dimension ref="A1:A7"/>
  <sheetViews>
    <sheetView tabSelected="1" workbookViewId="0">
      <selection activeCell="A3" sqref="A3:XFD3"/>
    </sheetView>
  </sheetViews>
  <sheetFormatPr defaultRowHeight="15" x14ac:dyDescent="0.25"/>
  <cols>
    <col min="1" max="1" width="92.140625" customWidth="1"/>
  </cols>
  <sheetData>
    <row r="1" spans="1:1" ht="87.95" customHeight="1" x14ac:dyDescent="0.25">
      <c r="A1" s="6" t="s">
        <v>9</v>
      </c>
    </row>
    <row r="3" spans="1:1" x14ac:dyDescent="0.25">
      <c r="A3" s="5"/>
    </row>
    <row r="4" spans="1:1" ht="29.25" x14ac:dyDescent="0.25">
      <c r="A4" s="7" t="s">
        <v>10</v>
      </c>
    </row>
    <row r="5" spans="1:1" ht="29.25" x14ac:dyDescent="0.25">
      <c r="A5" s="8" t="s">
        <v>7</v>
      </c>
    </row>
    <row r="6" spans="1:1" ht="29.25" x14ac:dyDescent="0.25">
      <c r="A6" s="8" t="s">
        <v>8</v>
      </c>
    </row>
    <row r="7" spans="1:1" x14ac:dyDescent="0.25">
      <c r="A7" s="9" t="s">
        <v>6</v>
      </c>
    </row>
  </sheetData>
  <sheetProtection algorithmName="SHA-512" hashValue="cNqsXGgIVAcK2GvU3QWdbzqea5f/tKkK7NXGR4kljeZLS8suA4e2HyJ42Zhguyu5ZAJTr8zcdrHozP2s2FJtRw==" saltValue="8E29SCy3ddKkXYKXeMRigA==" spinCount="100000" sheet="1" objects="1" scenarios="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4DDD6-21A6-4A97-89C7-6E66EB6A47C2}">
  <dimension ref="A1:F38"/>
  <sheetViews>
    <sheetView workbookViewId="0">
      <selection activeCell="B20" sqref="B20"/>
    </sheetView>
  </sheetViews>
  <sheetFormatPr defaultColWidth="8.7109375" defaultRowHeight="14.25" x14ac:dyDescent="0.2"/>
  <cols>
    <col min="1" max="1" width="11.7109375" style="1" bestFit="1" customWidth="1"/>
    <col min="2" max="16384" width="8.7109375" style="1"/>
  </cols>
  <sheetData>
    <row r="1" spans="1:6" ht="18" x14ac:dyDescent="0.25">
      <c r="A1" s="11" t="s">
        <v>16</v>
      </c>
      <c r="B1" s="11"/>
      <c r="C1" s="11"/>
      <c r="D1" s="11"/>
      <c r="E1" s="11"/>
      <c r="F1" s="11"/>
    </row>
    <row r="2" spans="1:6" x14ac:dyDescent="0.2">
      <c r="B2" s="10" t="s">
        <v>5</v>
      </c>
      <c r="C2" s="10"/>
      <c r="D2" s="10"/>
      <c r="E2" s="10"/>
      <c r="F2" s="10"/>
    </row>
    <row r="3" spans="1:6" x14ac:dyDescent="0.2">
      <c r="A3" s="2" t="s">
        <v>0</v>
      </c>
      <c r="B3" s="2" t="s">
        <v>11</v>
      </c>
      <c r="C3" s="2" t="s">
        <v>12</v>
      </c>
      <c r="D3" s="2" t="s">
        <v>13</v>
      </c>
      <c r="E3" s="2" t="s">
        <v>14</v>
      </c>
      <c r="F3" s="2" t="s">
        <v>15</v>
      </c>
    </row>
    <row r="4" spans="1:6" x14ac:dyDescent="0.2">
      <c r="A4" s="2">
        <v>1</v>
      </c>
      <c r="B4" s="2">
        <v>7</v>
      </c>
      <c r="C4" s="2">
        <v>6</v>
      </c>
      <c r="D4" s="2">
        <v>5</v>
      </c>
      <c r="E4" s="2">
        <v>4</v>
      </c>
      <c r="F4" s="2">
        <v>2</v>
      </c>
    </row>
    <row r="5" spans="1:6" x14ac:dyDescent="0.2">
      <c r="A5" s="2">
        <v>2</v>
      </c>
      <c r="B5" s="2">
        <v>6</v>
      </c>
      <c r="C5" s="2">
        <v>6</v>
      </c>
      <c r="D5" s="2">
        <v>6</v>
      </c>
      <c r="E5" s="2">
        <v>5</v>
      </c>
      <c r="F5" s="2">
        <v>3</v>
      </c>
    </row>
    <row r="6" spans="1:6" x14ac:dyDescent="0.2">
      <c r="A6" s="2">
        <v>3</v>
      </c>
      <c r="B6" s="2">
        <v>6</v>
      </c>
      <c r="C6" s="2">
        <v>5</v>
      </c>
      <c r="D6" s="2">
        <v>4</v>
      </c>
      <c r="E6" s="2">
        <v>4</v>
      </c>
      <c r="F6" s="2">
        <v>3</v>
      </c>
    </row>
    <row r="7" spans="1:6" x14ac:dyDescent="0.2">
      <c r="A7" s="2">
        <v>4</v>
      </c>
      <c r="B7" s="2">
        <v>8</v>
      </c>
      <c r="C7" s="2">
        <v>6</v>
      </c>
      <c r="D7" s="2">
        <v>4</v>
      </c>
      <c r="E7" s="2">
        <v>4</v>
      </c>
      <c r="F7" s="2">
        <v>5</v>
      </c>
    </row>
    <row r="8" spans="1:6" x14ac:dyDescent="0.2">
      <c r="A8" s="2">
        <v>5</v>
      </c>
      <c r="B8" s="2">
        <v>4</v>
      </c>
      <c r="C8" s="2">
        <v>4</v>
      </c>
      <c r="D8" s="2">
        <v>4</v>
      </c>
      <c r="E8" s="2">
        <v>3</v>
      </c>
      <c r="F8" s="2">
        <v>1</v>
      </c>
    </row>
    <row r="9" spans="1:6" x14ac:dyDescent="0.2">
      <c r="A9" s="2">
        <v>6</v>
      </c>
      <c r="B9" s="2">
        <v>5</v>
      </c>
      <c r="C9" s="2">
        <v>6</v>
      </c>
      <c r="D9" s="2">
        <v>4</v>
      </c>
      <c r="E9" s="2">
        <v>3</v>
      </c>
      <c r="F9" s="2">
        <v>2</v>
      </c>
    </row>
    <row r="10" spans="1:6" ht="17.45" customHeight="1" x14ac:dyDescent="0.2">
      <c r="A10" s="2">
        <v>7</v>
      </c>
      <c r="B10" s="2">
        <v>8</v>
      </c>
      <c r="C10" s="2">
        <v>5</v>
      </c>
      <c r="D10" s="2">
        <v>7</v>
      </c>
      <c r="E10" s="2">
        <v>6</v>
      </c>
      <c r="F10" s="2">
        <v>5</v>
      </c>
    </row>
    <row r="11" spans="1:6" x14ac:dyDescent="0.2">
      <c r="A11" s="2">
        <v>8</v>
      </c>
      <c r="B11" s="2">
        <v>6</v>
      </c>
      <c r="C11" s="2">
        <v>7</v>
      </c>
      <c r="D11" s="2">
        <v>8</v>
      </c>
      <c r="E11" s="2">
        <v>5</v>
      </c>
      <c r="F11" s="2">
        <v>3</v>
      </c>
    </row>
    <row r="12" spans="1:6" x14ac:dyDescent="0.2">
      <c r="A12" s="2">
        <v>9</v>
      </c>
      <c r="B12" s="2">
        <v>7</v>
      </c>
      <c r="C12" s="2">
        <v>6</v>
      </c>
      <c r="D12" s="2">
        <v>5</v>
      </c>
      <c r="E12" s="2">
        <v>3</v>
      </c>
      <c r="F12" s="2">
        <v>4</v>
      </c>
    </row>
    <row r="13" spans="1:6" x14ac:dyDescent="0.2">
      <c r="A13" s="2">
        <v>10</v>
      </c>
      <c r="B13" s="2">
        <v>6</v>
      </c>
      <c r="C13" s="2">
        <v>5</v>
      </c>
      <c r="D13" s="2">
        <v>4</v>
      </c>
      <c r="E13" s="2">
        <v>3</v>
      </c>
      <c r="F13" s="2">
        <v>3</v>
      </c>
    </row>
    <row r="14" spans="1:6" x14ac:dyDescent="0.2">
      <c r="A14" s="2">
        <v>11</v>
      </c>
      <c r="B14" s="2">
        <v>7</v>
      </c>
      <c r="C14" s="2">
        <v>4</v>
      </c>
      <c r="D14" s="2">
        <v>6</v>
      </c>
      <c r="E14" s="2">
        <v>4</v>
      </c>
      <c r="F14" s="2">
        <v>4</v>
      </c>
    </row>
    <row r="15" spans="1:6" x14ac:dyDescent="0.2">
      <c r="A15" s="2">
        <v>12</v>
      </c>
      <c r="B15" s="2">
        <v>5</v>
      </c>
      <c r="C15" s="2">
        <v>5</v>
      </c>
      <c r="D15" s="2">
        <v>5</v>
      </c>
      <c r="E15" s="2">
        <v>3</v>
      </c>
      <c r="F15" s="2">
        <v>2</v>
      </c>
    </row>
    <row r="16" spans="1:6" x14ac:dyDescent="0.2">
      <c r="A16" s="2">
        <v>13</v>
      </c>
      <c r="B16" s="2">
        <v>6</v>
      </c>
      <c r="C16" s="2">
        <v>5</v>
      </c>
      <c r="D16" s="2">
        <v>4</v>
      </c>
      <c r="E16" s="2">
        <v>3</v>
      </c>
      <c r="F16" s="2">
        <v>3</v>
      </c>
    </row>
    <row r="17" spans="1:6" x14ac:dyDescent="0.2">
      <c r="A17" s="2">
        <v>14</v>
      </c>
      <c r="B17" s="2">
        <v>9</v>
      </c>
      <c r="C17" s="2">
        <v>8</v>
      </c>
      <c r="D17" s="2">
        <v>7</v>
      </c>
      <c r="E17" s="2">
        <v>6</v>
      </c>
      <c r="F17" s="2">
        <v>6</v>
      </c>
    </row>
    <row r="18" spans="1:6" x14ac:dyDescent="0.2">
      <c r="A18" s="2">
        <v>15</v>
      </c>
      <c r="B18" s="2">
        <v>7</v>
      </c>
      <c r="C18" s="2">
        <v>8</v>
      </c>
      <c r="D18" s="2">
        <v>9</v>
      </c>
      <c r="E18" s="2">
        <v>6</v>
      </c>
      <c r="F18" s="2">
        <v>4</v>
      </c>
    </row>
    <row r="19" spans="1:6" x14ac:dyDescent="0.2">
      <c r="A19" s="2">
        <v>16</v>
      </c>
      <c r="B19" s="2">
        <v>5</v>
      </c>
      <c r="C19" s="2">
        <v>6</v>
      </c>
      <c r="D19" s="2">
        <v>7</v>
      </c>
      <c r="E19" s="2">
        <v>5</v>
      </c>
      <c r="F19" s="2">
        <v>2</v>
      </c>
    </row>
    <row r="20" spans="1:6" x14ac:dyDescent="0.2">
      <c r="A20" s="2">
        <v>17</v>
      </c>
      <c r="B20" s="2">
        <v>4</v>
      </c>
      <c r="C20" s="2">
        <v>5</v>
      </c>
      <c r="D20" s="2">
        <v>6</v>
      </c>
      <c r="E20" s="2">
        <v>6</v>
      </c>
      <c r="F20" s="2">
        <v>1</v>
      </c>
    </row>
    <row r="21" spans="1:6" x14ac:dyDescent="0.2">
      <c r="A21" s="2">
        <v>18</v>
      </c>
      <c r="B21" s="2">
        <v>8</v>
      </c>
      <c r="C21" s="2">
        <v>7</v>
      </c>
      <c r="D21" s="2">
        <v>6</v>
      </c>
      <c r="E21" s="2">
        <v>3</v>
      </c>
      <c r="F21" s="2">
        <v>5</v>
      </c>
    </row>
    <row r="22" spans="1:6" x14ac:dyDescent="0.2">
      <c r="A22" s="2">
        <v>19</v>
      </c>
      <c r="B22" s="2">
        <v>5</v>
      </c>
      <c r="C22" s="2">
        <v>6</v>
      </c>
      <c r="D22" s="2">
        <v>7</v>
      </c>
      <c r="E22" s="2">
        <v>5</v>
      </c>
      <c r="F22" s="2">
        <v>2</v>
      </c>
    </row>
    <row r="23" spans="1:6" x14ac:dyDescent="0.2">
      <c r="A23" s="2">
        <v>20</v>
      </c>
      <c r="B23" s="2">
        <v>6</v>
      </c>
      <c r="C23" s="2">
        <v>4</v>
      </c>
      <c r="D23" s="2">
        <v>2</v>
      </c>
      <c r="E23" s="2">
        <v>0</v>
      </c>
      <c r="F23" s="2">
        <v>3</v>
      </c>
    </row>
    <row r="24" spans="1:6" x14ac:dyDescent="0.2">
      <c r="A24" s="2">
        <v>21</v>
      </c>
      <c r="B24" s="2">
        <v>7</v>
      </c>
      <c r="C24" s="2">
        <v>6</v>
      </c>
      <c r="D24" s="2">
        <v>5</v>
      </c>
      <c r="E24" s="2">
        <v>4</v>
      </c>
      <c r="F24" s="2">
        <v>4</v>
      </c>
    </row>
    <row r="25" spans="1:6" x14ac:dyDescent="0.2">
      <c r="A25" s="2">
        <v>22</v>
      </c>
      <c r="B25" s="2">
        <v>8</v>
      </c>
      <c r="C25" s="2">
        <v>7</v>
      </c>
      <c r="D25" s="2">
        <v>6</v>
      </c>
      <c r="E25" s="2">
        <v>5</v>
      </c>
      <c r="F25" s="2">
        <v>5</v>
      </c>
    </row>
    <row r="26" spans="1:6" x14ac:dyDescent="0.2">
      <c r="A26" s="2">
        <v>23</v>
      </c>
      <c r="B26" s="2">
        <v>9</v>
      </c>
      <c r="C26" s="2">
        <v>9</v>
      </c>
      <c r="D26" s="2">
        <v>9</v>
      </c>
      <c r="E26" s="2">
        <v>7</v>
      </c>
      <c r="F26" s="2">
        <v>6</v>
      </c>
    </row>
    <row r="27" spans="1:6" x14ac:dyDescent="0.2">
      <c r="A27" s="2">
        <v>24</v>
      </c>
      <c r="B27" s="2">
        <v>6</v>
      </c>
      <c r="C27" s="2">
        <v>7</v>
      </c>
      <c r="D27" s="2">
        <v>8</v>
      </c>
      <c r="E27" s="2">
        <v>9</v>
      </c>
      <c r="F27" s="2">
        <v>3</v>
      </c>
    </row>
    <row r="28" spans="1:6" x14ac:dyDescent="0.2">
      <c r="A28" s="2">
        <v>25</v>
      </c>
      <c r="B28" s="2">
        <v>5</v>
      </c>
      <c r="C28" s="2">
        <v>6</v>
      </c>
      <c r="D28" s="2">
        <v>7</v>
      </c>
      <c r="E28" s="2">
        <v>8</v>
      </c>
      <c r="F28" s="2">
        <v>2</v>
      </c>
    </row>
    <row r="29" spans="1:6" x14ac:dyDescent="0.2">
      <c r="A29" s="2">
        <v>26</v>
      </c>
      <c r="B29" s="2">
        <v>5</v>
      </c>
      <c r="C29" s="2">
        <v>4</v>
      </c>
      <c r="D29" s="2">
        <v>3</v>
      </c>
      <c r="E29" s="2">
        <v>2</v>
      </c>
      <c r="F29" s="2">
        <v>3</v>
      </c>
    </row>
    <row r="30" spans="1:6" x14ac:dyDescent="0.2">
      <c r="A30" s="2">
        <v>27</v>
      </c>
      <c r="B30" s="2">
        <v>6</v>
      </c>
      <c r="C30" s="2">
        <v>3</v>
      </c>
      <c r="D30" s="2">
        <v>5</v>
      </c>
      <c r="E30" s="2">
        <v>7</v>
      </c>
      <c r="F30" s="2">
        <v>3</v>
      </c>
    </row>
    <row r="31" spans="1:6" x14ac:dyDescent="0.2">
      <c r="A31" s="2">
        <v>28</v>
      </c>
      <c r="B31" s="2">
        <v>7</v>
      </c>
      <c r="C31" s="2">
        <v>5</v>
      </c>
      <c r="D31" s="2">
        <v>3</v>
      </c>
      <c r="E31" s="2">
        <v>1</v>
      </c>
      <c r="F31" s="2">
        <v>3</v>
      </c>
    </row>
    <row r="32" spans="1:6" x14ac:dyDescent="0.2">
      <c r="A32" s="2">
        <v>29</v>
      </c>
      <c r="B32" s="2">
        <v>5</v>
      </c>
      <c r="C32" s="2">
        <v>7</v>
      </c>
      <c r="D32" s="2">
        <v>9</v>
      </c>
      <c r="E32" s="2">
        <v>8</v>
      </c>
      <c r="F32" s="2">
        <v>2</v>
      </c>
    </row>
    <row r="33" spans="1:6" x14ac:dyDescent="0.2">
      <c r="A33" s="2">
        <v>30</v>
      </c>
      <c r="B33" s="2">
        <v>4</v>
      </c>
      <c r="C33" s="2">
        <v>3</v>
      </c>
      <c r="D33" s="2">
        <v>2</v>
      </c>
      <c r="E33" s="2">
        <v>1</v>
      </c>
      <c r="F33" s="2">
        <v>1</v>
      </c>
    </row>
    <row r="34" spans="1:6" ht="15" x14ac:dyDescent="0.25">
      <c r="A34" s="3" t="s">
        <v>1</v>
      </c>
      <c r="B34" s="4">
        <f>AVERAGE(B4:B33)</f>
        <v>6.2333333333333334</v>
      </c>
      <c r="C34" s="4">
        <f>AVERAGE(C4:C33)</f>
        <v>5.7</v>
      </c>
      <c r="D34" s="4">
        <f>AVERAGE(D4:D33)</f>
        <v>5.5666666666666664</v>
      </c>
      <c r="E34" s="4">
        <f>AVERAGE(E4:E33)</f>
        <v>4.4333333333333336</v>
      </c>
      <c r="F34" s="4">
        <f>AVERAGE(F4:F33)</f>
        <v>3.1666666666666665</v>
      </c>
    </row>
    <row r="35" spans="1:6" ht="15" x14ac:dyDescent="0.25">
      <c r="A35" s="3" t="s">
        <v>2</v>
      </c>
      <c r="B35" s="3">
        <f>MEDIAN(B4:B33)</f>
        <v>6</v>
      </c>
      <c r="C35" s="3">
        <f t="shared" ref="C35:F35" si="0">MEDIAN(C4:C33)</f>
        <v>6</v>
      </c>
      <c r="D35" s="3">
        <f t="shared" si="0"/>
        <v>5.5</v>
      </c>
      <c r="E35" s="3">
        <f t="shared" si="0"/>
        <v>4</v>
      </c>
      <c r="F35" s="3">
        <f t="shared" si="0"/>
        <v>3</v>
      </c>
    </row>
    <row r="36" spans="1:6" ht="15" x14ac:dyDescent="0.25">
      <c r="A36" s="3" t="s">
        <v>3</v>
      </c>
      <c r="B36" s="3">
        <f>MODE(B4:B33)</f>
        <v>6</v>
      </c>
      <c r="C36" s="3">
        <f t="shared" ref="C36:F36" si="1">MODE(C4:C33)</f>
        <v>6</v>
      </c>
      <c r="D36" s="3">
        <f t="shared" si="1"/>
        <v>4</v>
      </c>
      <c r="E36" s="3">
        <f t="shared" si="1"/>
        <v>3</v>
      </c>
      <c r="F36" s="3">
        <f t="shared" si="1"/>
        <v>3</v>
      </c>
    </row>
    <row r="37" spans="1:6" ht="15" x14ac:dyDescent="0.25">
      <c r="A37" s="3" t="s">
        <v>4</v>
      </c>
      <c r="B37" s="3">
        <f>MAX(B4:B33)-MIN(B4:B33)</f>
        <v>5</v>
      </c>
      <c r="C37" s="3">
        <f t="shared" ref="C37:F37" si="2">MAX(C4:C33)-MIN(C4:C33)</f>
        <v>6</v>
      </c>
      <c r="D37" s="3">
        <f t="shared" si="2"/>
        <v>7</v>
      </c>
      <c r="E37" s="3">
        <f t="shared" si="2"/>
        <v>9</v>
      </c>
      <c r="F37" s="3">
        <f t="shared" si="2"/>
        <v>5</v>
      </c>
    </row>
    <row r="38" spans="1:6" ht="15" x14ac:dyDescent="0.25">
      <c r="A38" s="3" t="s">
        <v>17</v>
      </c>
      <c r="B38" s="4">
        <f>SUM(B34/10)*100</f>
        <v>62.333333333333329</v>
      </c>
      <c r="C38" s="4">
        <f>SUM(C34/10)*100</f>
        <v>57.000000000000007</v>
      </c>
      <c r="D38" s="4">
        <f>SUM(D34/10)*100</f>
        <v>55.666666666666664</v>
      </c>
      <c r="E38" s="4">
        <f>SUM(E34/10)*100</f>
        <v>44.333333333333336</v>
      </c>
      <c r="F38" s="4">
        <f>SUM(F34/10)*100</f>
        <v>31.666666666666664</v>
      </c>
    </row>
  </sheetData>
  <sheetProtection algorithmName="SHA-512" hashValue="Uja54TzQGUDa6yCIGQwu1CjXzdVU3KkcKx9AhODbuDo2bDQCVoPRAFBuHClbhybLPXFramk8ZVUY5aA2/T3cRw==" saltValue="bziFAbmsDX7kxYP8JUdZ8A==" spinCount="100000" sheet="1" objects="1" scenarios="1" sort="0"/>
  <mergeCells count="2">
    <mergeCell ref="B2:F2"/>
    <mergeCell ref="A1:F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Introduction</vt:lpstr>
      <vt:lpstr>Class data set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Science 7–10 (2023): Data science 1 sample spreadsheet</dc:title>
  <dc:creator>NSW Education Standards Authority</dc:creator>
  <cp:lastModifiedBy>Michaela Cameron</cp:lastModifiedBy>
  <dcterms:created xsi:type="dcterms:W3CDTF">2024-08-27T07:33:35Z</dcterms:created>
  <dcterms:modified xsi:type="dcterms:W3CDTF">2024-09-27T02:11:22Z</dcterms:modified>
</cp:coreProperties>
</file>