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astonc\Documents\Offline Records (TP)\Science 7-10 - Support Materials\"/>
    </mc:Choice>
  </mc:AlternateContent>
  <xr:revisionPtr revIDLastSave="0" documentId="13_ncr:1_{87F83DD5-FD9F-43AA-914B-F49D73571150}" xr6:coauthVersionLast="47" xr6:coauthVersionMax="47" xr10:uidLastSave="{00000000-0000-0000-0000-000000000000}"/>
  <bookViews>
    <workbookView xWindow="28680" yWindow="-120" windowWidth="29040" windowHeight="15840" activeTab="1" xr2:uid="{E74BE8B4-9FE1-477D-BE83-2FF90619E894}"/>
  </bookViews>
  <sheets>
    <sheet name="Introduction" sheetId="3" r:id="rId1"/>
    <sheet name="Example ozone analysis" sheetId="2" r:id="rId2"/>
    <sheet name="Full Dataset" sheetId="1" r:id="rId3"/>
  </sheets>
  <definedNames>
    <definedName name="_xlchart.v1.0" hidden="1">'Example ozone analysis'!$E$2:$E$337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3" i="2" l="1"/>
  <c r="G343" i="2"/>
  <c r="D343" i="2"/>
  <c r="E343" i="2"/>
  <c r="F341" i="2"/>
  <c r="G341" i="2"/>
  <c r="D341" i="2"/>
  <c r="E341" i="2"/>
  <c r="F340" i="2"/>
  <c r="F342" i="2" s="1"/>
  <c r="G340" i="2"/>
  <c r="G342" i="2" s="1"/>
  <c r="D340" i="2"/>
  <c r="D342" i="2" s="1"/>
  <c r="E340" i="2"/>
  <c r="E342" i="2" s="1"/>
  <c r="F339" i="2"/>
  <c r="G339" i="2"/>
  <c r="D339" i="2"/>
  <c r="E339" i="2"/>
  <c r="F338" i="2"/>
  <c r="G338" i="2"/>
  <c r="D338" i="2"/>
  <c r="E338" i="2"/>
</calcChain>
</file>

<file path=xl/sharedStrings.xml><?xml version="1.0" encoding="utf-8"?>
<sst xmlns="http://schemas.openxmlformats.org/spreadsheetml/2006/main" count="45" uniqueCount="30">
  <si>
    <t>Date</t>
  </si>
  <si>
    <t>Time</t>
  </si>
  <si>
    <t>Date/time</t>
  </si>
  <si>
    <t xml:space="preserve">NOX 1 hour average [ppb] </t>
  </si>
  <si>
    <t xml:space="preserve">OZONE 1 hour average [ppb] </t>
  </si>
  <si>
    <t xml:space="preserve">Temperature 1 hour average [°C] </t>
  </si>
  <si>
    <t xml:space="preserve">Wind Speed 1 hour average [m/s]  </t>
  </si>
  <si>
    <t>mean</t>
  </si>
  <si>
    <t>median</t>
  </si>
  <si>
    <t>max value</t>
  </si>
  <si>
    <t>min value</t>
  </si>
  <si>
    <t>range</t>
  </si>
  <si>
    <t>standard dev</t>
  </si>
  <si>
    <t>CO 1 hour average [ppb]</t>
  </si>
  <si>
    <t>Humidity 1 hour average [%]</t>
  </si>
  <si>
    <t>NEPH 1 hour average [bsp]</t>
  </si>
  <si>
    <t>NO 1 hour average [ppb]</t>
  </si>
  <si>
    <t>NO2 1 hour average [ppb]</t>
  </si>
  <si>
    <t>NOX 1 hour average [ppb]</t>
  </si>
  <si>
    <t>OZONE 1 hour average [ppb]</t>
  </si>
  <si>
    <t>PM10 1 hour average [µg/m³]</t>
  </si>
  <si>
    <t>SD1 1 hour average [°]</t>
  </si>
  <si>
    <t>SO2 1 hour average [ppb]</t>
  </si>
  <si>
    <t>Solar 1 hour average [W/m2]</t>
  </si>
  <si>
    <t>Temperature 1 hour average [°C]</t>
  </si>
  <si>
    <t>Wind Direction 1 hour average [°]</t>
  </si>
  <si>
    <t>Wind Speed 1 hour average [m/s]</t>
  </si>
  <si>
    <r>
      <rPr>
        <b/>
        <sz val="20"/>
        <color rgb="FF002664"/>
        <rFont val="Arial"/>
        <family val="2"/>
      </rPr>
      <t>NSW Education Standards Authority</t>
    </r>
    <r>
      <rPr>
        <b/>
        <sz val="20"/>
        <color theme="1"/>
        <rFont val="Arial"/>
        <family val="2"/>
      </rPr>
      <t xml:space="preserve"> </t>
    </r>
  </si>
  <si>
    <t>The Sydney Particle Study was conducted by teams of scientists from the CSIRO, OEH, and ANSTO in the summer of 2011. The study measured aerosols, gases and meteorological data. The extracted ozone analysis dataset can be used to develop and test a question, and descriptive statistical analysis techniques can be applied to allow patterns in the data to be identified. Below the raw data, a series of graphical representations of the data analysis is included to assist in recognising and communicating patterns. The spreadsheet is locked, so data and formulae can be viewed but not edited. The source data can be accessed in the SPS1_Air_Quality_Station_Data.csv file in the article located at https://doi.org/10.4225/08/57903B83D6A5D.</t>
  </si>
  <si>
    <t>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</si>
</sst>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family val="2"/>
    </font>
    <font>
      <u/>
      <sz val="11"/>
      <color theme="10"/>
      <name val="Aptos Narrow"/>
      <family val="2"/>
      <scheme val="minor"/>
    </font>
    <font>
      <b/>
      <sz val="20"/>
      <color rgb="FF002664"/>
      <name val="Arial"/>
      <family val="2"/>
    </font>
    <font>
      <b/>
      <sz val="20"/>
      <color theme="1"/>
      <name val="Arial"/>
      <family val="2"/>
    </font>
    <font>
      <sz val="11"/>
      <color rgb="FFFF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00000"/>
      </left>
      <right style="thin">
        <color rgb="FFC00000"/>
      </right>
      <top style="thin">
        <color rgb="FFC00000"/>
      </top>
      <bottom style="thin">
        <color rgb="FFC00000"/>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22">
    <xf numFmtId="0" fontId="0" fillId="0" borderId="0" xfId="0"/>
    <xf numFmtId="14" fontId="0" fillId="0" borderId="0" xfId="0" applyNumberFormat="1"/>
    <xf numFmtId="20" fontId="0" fillId="0" borderId="0" xfId="0" applyNumberFormat="1"/>
    <xf numFmtId="46" fontId="0" fillId="0" borderId="0" xfId="0" applyNumberFormat="1"/>
    <xf numFmtId="0" fontId="0" fillId="0" borderId="0" xfId="0" applyAlignment="1">
      <alignment vertical="center"/>
    </xf>
    <xf numFmtId="0" fontId="0" fillId="0" borderId="0" xfId="0" applyAlignment="1">
      <alignment horizontal="left" vertical="center" wrapText="1"/>
    </xf>
    <xf numFmtId="0" fontId="18" fillId="0" borderId="0" xfId="0" applyFont="1"/>
    <xf numFmtId="0" fontId="18" fillId="0" borderId="0" xfId="0" applyFont="1" applyAlignment="1">
      <alignment vertical="center"/>
    </xf>
    <xf numFmtId="0" fontId="19" fillId="0" borderId="0" xfId="42"/>
    <xf numFmtId="0" fontId="20" fillId="0" borderId="11" xfId="0" applyFont="1" applyBorder="1"/>
    <xf numFmtId="0" fontId="18" fillId="33" borderId="10" xfId="0" applyFont="1" applyFill="1" applyBorder="1" applyAlignment="1">
      <alignment wrapText="1"/>
    </xf>
    <xf numFmtId="0" fontId="18" fillId="0" borderId="0" xfId="0" applyFont="1" applyAlignment="1">
      <alignment wrapText="1"/>
    </xf>
    <xf numFmtId="14" fontId="18" fillId="0" borderId="0" xfId="0" applyNumberFormat="1" applyFont="1"/>
    <xf numFmtId="20" fontId="18" fillId="0" borderId="0" xfId="0" applyNumberFormat="1" applyFont="1"/>
    <xf numFmtId="22" fontId="18" fillId="0" borderId="0" xfId="0" applyNumberFormat="1" applyFont="1"/>
    <xf numFmtId="46" fontId="18" fillId="0" borderId="0" xfId="0" applyNumberFormat="1" applyFont="1"/>
    <xf numFmtId="2" fontId="22" fillId="0" borderId="0" xfId="0" applyNumberFormat="1" applyFont="1"/>
    <xf numFmtId="0" fontId="22" fillId="0" borderId="0" xfId="0" applyFont="1"/>
    <xf numFmtId="164" fontId="0" fillId="0" borderId="0" xfId="0" applyNumberFormat="1"/>
    <xf numFmtId="49" fontId="0" fillId="0" borderId="0" xfId="0" applyNumberFormat="1" applyAlignment="1">
      <alignment horizontal="right"/>
    </xf>
    <xf numFmtId="49" fontId="18" fillId="0" borderId="0" xfId="0" applyNumberFormat="1" applyFont="1" applyAlignment="1">
      <alignment horizontal="right"/>
    </xf>
    <xf numFmtId="0" fontId="18" fillId="0" borderId="0" xfId="0" applyFont="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NOx concentration vs ozone concentration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'Example ozone analysis'!$D$2:$D$337</c:f>
              <c:numCache>
                <c:formatCode>General</c:formatCode>
                <c:ptCount val="336"/>
                <c:pt idx="0">
                  <c:v>5.43</c:v>
                </c:pt>
                <c:pt idx="1">
                  <c:v>1.88</c:v>
                </c:pt>
                <c:pt idx="2">
                  <c:v>2.09</c:v>
                </c:pt>
                <c:pt idx="3">
                  <c:v>4.0999999999999996</c:v>
                </c:pt>
                <c:pt idx="4">
                  <c:v>4.25</c:v>
                </c:pt>
                <c:pt idx="5">
                  <c:v>6.95</c:v>
                </c:pt>
                <c:pt idx="6">
                  <c:v>8.6999999999999993</c:v>
                </c:pt>
                <c:pt idx="7">
                  <c:v>8.4600000000000009</c:v>
                </c:pt>
                <c:pt idx="8">
                  <c:v>9.16</c:v>
                </c:pt>
                <c:pt idx="9">
                  <c:v>10.53</c:v>
                </c:pt>
                <c:pt idx="10">
                  <c:v>13.34</c:v>
                </c:pt>
                <c:pt idx="11">
                  <c:v>11.11</c:v>
                </c:pt>
                <c:pt idx="12">
                  <c:v>6.32</c:v>
                </c:pt>
                <c:pt idx="13">
                  <c:v>8.74</c:v>
                </c:pt>
                <c:pt idx="14">
                  <c:v>13.75</c:v>
                </c:pt>
                <c:pt idx="15">
                  <c:v>8.19</c:v>
                </c:pt>
                <c:pt idx="16">
                  <c:v>11.21</c:v>
                </c:pt>
                <c:pt idx="17">
                  <c:v>9.65</c:v>
                </c:pt>
                <c:pt idx="18">
                  <c:v>7.24</c:v>
                </c:pt>
                <c:pt idx="19">
                  <c:v>7.04</c:v>
                </c:pt>
                <c:pt idx="20">
                  <c:v>5.61</c:v>
                </c:pt>
                <c:pt idx="21">
                  <c:v>3.72</c:v>
                </c:pt>
                <c:pt idx="22">
                  <c:v>4.1399999999999997</c:v>
                </c:pt>
                <c:pt idx="23">
                  <c:v>3.84</c:v>
                </c:pt>
                <c:pt idx="24">
                  <c:v>7.82</c:v>
                </c:pt>
                <c:pt idx="25">
                  <c:v>6.29</c:v>
                </c:pt>
                <c:pt idx="26">
                  <c:v>6.53</c:v>
                </c:pt>
                <c:pt idx="27">
                  <c:v>9.31</c:v>
                </c:pt>
                <c:pt idx="28">
                  <c:v>19.93</c:v>
                </c:pt>
                <c:pt idx="29">
                  <c:v>21.62</c:v>
                </c:pt>
                <c:pt idx="30">
                  <c:v>51.08</c:v>
                </c:pt>
                <c:pt idx="31">
                  <c:v>30.45</c:v>
                </c:pt>
                <c:pt idx="32">
                  <c:v>16.079999999999998</c:v>
                </c:pt>
                <c:pt idx="33">
                  <c:v>17.36</c:v>
                </c:pt>
                <c:pt idx="34">
                  <c:v>12.65</c:v>
                </c:pt>
                <c:pt idx="35">
                  <c:v>12.04</c:v>
                </c:pt>
                <c:pt idx="36">
                  <c:v>8.58</c:v>
                </c:pt>
                <c:pt idx="37">
                  <c:v>7.91</c:v>
                </c:pt>
                <c:pt idx="38">
                  <c:v>4.43</c:v>
                </c:pt>
                <c:pt idx="39">
                  <c:v>5.21</c:v>
                </c:pt>
                <c:pt idx="40">
                  <c:v>6.03</c:v>
                </c:pt>
                <c:pt idx="41">
                  <c:v>5.67</c:v>
                </c:pt>
                <c:pt idx="42">
                  <c:v>5.51</c:v>
                </c:pt>
                <c:pt idx="43">
                  <c:v>5.55</c:v>
                </c:pt>
                <c:pt idx="44">
                  <c:v>5.61</c:v>
                </c:pt>
                <c:pt idx="45">
                  <c:v>8.6999999999999993</c:v>
                </c:pt>
                <c:pt idx="46">
                  <c:v>6.77</c:v>
                </c:pt>
                <c:pt idx="47">
                  <c:v>9.5500000000000007</c:v>
                </c:pt>
                <c:pt idx="48">
                  <c:v>6.16</c:v>
                </c:pt>
                <c:pt idx="49">
                  <c:v>4.24</c:v>
                </c:pt>
                <c:pt idx="50">
                  <c:v>3.98</c:v>
                </c:pt>
                <c:pt idx="51">
                  <c:v>5.45</c:v>
                </c:pt>
                <c:pt idx="52">
                  <c:v>10.46</c:v>
                </c:pt>
                <c:pt idx="53">
                  <c:v>21.4</c:v>
                </c:pt>
                <c:pt idx="54">
                  <c:v>32.090000000000003</c:v>
                </c:pt>
                <c:pt idx="55">
                  <c:v>18.3</c:v>
                </c:pt>
                <c:pt idx="56">
                  <c:v>16.14</c:v>
                </c:pt>
                <c:pt idx="57">
                  <c:v>10.75</c:v>
                </c:pt>
                <c:pt idx="58">
                  <c:v>10.39</c:v>
                </c:pt>
                <c:pt idx="59">
                  <c:v>8.0399999999999991</c:v>
                </c:pt>
                <c:pt idx="60">
                  <c:v>8.5399999999999991</c:v>
                </c:pt>
                <c:pt idx="61">
                  <c:v>8.34</c:v>
                </c:pt>
                <c:pt idx="62">
                  <c:v>6.66</c:v>
                </c:pt>
                <c:pt idx="63">
                  <c:v>3.92</c:v>
                </c:pt>
                <c:pt idx="64">
                  <c:v>4.88</c:v>
                </c:pt>
                <c:pt idx="65">
                  <c:v>3.98</c:v>
                </c:pt>
                <c:pt idx="66">
                  <c:v>3.87</c:v>
                </c:pt>
                <c:pt idx="67">
                  <c:v>3.95</c:v>
                </c:pt>
                <c:pt idx="68">
                  <c:v>6.61</c:v>
                </c:pt>
                <c:pt idx="69">
                  <c:v>17.16</c:v>
                </c:pt>
                <c:pt idx="70">
                  <c:v>31.27</c:v>
                </c:pt>
                <c:pt idx="71">
                  <c:v>28.61</c:v>
                </c:pt>
                <c:pt idx="72">
                  <c:v>27.45</c:v>
                </c:pt>
                <c:pt idx="73">
                  <c:v>32.450000000000003</c:v>
                </c:pt>
                <c:pt idx="74">
                  <c:v>35.74</c:v>
                </c:pt>
                <c:pt idx="75">
                  <c:v>36.53</c:v>
                </c:pt>
                <c:pt idx="76">
                  <c:v>68.650000000000006</c:v>
                </c:pt>
                <c:pt idx="77">
                  <c:v>75.92</c:v>
                </c:pt>
                <c:pt idx="78">
                  <c:v>77.44</c:v>
                </c:pt>
                <c:pt idx="79">
                  <c:v>38.270000000000003</c:v>
                </c:pt>
                <c:pt idx="80">
                  <c:v>17.149999999999999</c:v>
                </c:pt>
                <c:pt idx="81">
                  <c:v>34.06</c:v>
                </c:pt>
                <c:pt idx="82">
                  <c:v>15.62</c:v>
                </c:pt>
                <c:pt idx="83">
                  <c:v>8.9700000000000006</c:v>
                </c:pt>
                <c:pt idx="84">
                  <c:v>11.81</c:v>
                </c:pt>
                <c:pt idx="85">
                  <c:v>11.91</c:v>
                </c:pt>
                <c:pt idx="86">
                  <c:v>5.14</c:v>
                </c:pt>
                <c:pt idx="87">
                  <c:v>4.21</c:v>
                </c:pt>
                <c:pt idx="88">
                  <c:v>4.72</c:v>
                </c:pt>
                <c:pt idx="89">
                  <c:v>4.9000000000000004</c:v>
                </c:pt>
                <c:pt idx="90">
                  <c:v>3.04</c:v>
                </c:pt>
                <c:pt idx="91">
                  <c:v>3.17</c:v>
                </c:pt>
                <c:pt idx="92">
                  <c:v>4.49</c:v>
                </c:pt>
                <c:pt idx="93">
                  <c:v>5.1100000000000003</c:v>
                </c:pt>
                <c:pt idx="94">
                  <c:v>6.55</c:v>
                </c:pt>
                <c:pt idx="95">
                  <c:v>16.03</c:v>
                </c:pt>
                <c:pt idx="96">
                  <c:v>18.760000000000002</c:v>
                </c:pt>
                <c:pt idx="97">
                  <c:v>19.09</c:v>
                </c:pt>
                <c:pt idx="98">
                  <c:v>18.96</c:v>
                </c:pt>
                <c:pt idx="99">
                  <c:v>21.34</c:v>
                </c:pt>
                <c:pt idx="100">
                  <c:v>29.58</c:v>
                </c:pt>
                <c:pt idx="101">
                  <c:v>45.16</c:v>
                </c:pt>
                <c:pt idx="102">
                  <c:v>78.98</c:v>
                </c:pt>
                <c:pt idx="103">
                  <c:v>35.53</c:v>
                </c:pt>
                <c:pt idx="104">
                  <c:v>11.19</c:v>
                </c:pt>
                <c:pt idx="105">
                  <c:v>5.0599999999999996</c:v>
                </c:pt>
                <c:pt idx="106">
                  <c:v>3.94</c:v>
                </c:pt>
                <c:pt idx="107">
                  <c:v>3.74</c:v>
                </c:pt>
                <c:pt idx="108">
                  <c:v>3.66</c:v>
                </c:pt>
                <c:pt idx="109">
                  <c:v>4.03</c:v>
                </c:pt>
                <c:pt idx="110">
                  <c:v>4.8899999999999997</c:v>
                </c:pt>
                <c:pt idx="111">
                  <c:v>3.89</c:v>
                </c:pt>
                <c:pt idx="112">
                  <c:v>17.010000000000002</c:v>
                </c:pt>
                <c:pt idx="113">
                  <c:v>19.3</c:v>
                </c:pt>
                <c:pt idx="114">
                  <c:v>16.600000000000001</c:v>
                </c:pt>
                <c:pt idx="115">
                  <c:v>14.02</c:v>
                </c:pt>
                <c:pt idx="116">
                  <c:v>17.600000000000001</c:v>
                </c:pt>
                <c:pt idx="117">
                  <c:v>25.27</c:v>
                </c:pt>
                <c:pt idx="118">
                  <c:v>17.43</c:v>
                </c:pt>
                <c:pt idx="119">
                  <c:v>5.91</c:v>
                </c:pt>
                <c:pt idx="120">
                  <c:v>7.62</c:v>
                </c:pt>
                <c:pt idx="121">
                  <c:v>8.6</c:v>
                </c:pt>
                <c:pt idx="122">
                  <c:v>7.01</c:v>
                </c:pt>
                <c:pt idx="123">
                  <c:v>8.73</c:v>
                </c:pt>
                <c:pt idx="124">
                  <c:v>13.52</c:v>
                </c:pt>
                <c:pt idx="125">
                  <c:v>19.43</c:v>
                </c:pt>
                <c:pt idx="126">
                  <c:v>18.79</c:v>
                </c:pt>
                <c:pt idx="127">
                  <c:v>11.95</c:v>
                </c:pt>
                <c:pt idx="128">
                  <c:v>5.05</c:v>
                </c:pt>
                <c:pt idx="129">
                  <c:v>4.2300000000000004</c:v>
                </c:pt>
                <c:pt idx="130">
                  <c:v>4.72</c:v>
                </c:pt>
                <c:pt idx="131">
                  <c:v>5.29</c:v>
                </c:pt>
                <c:pt idx="132">
                  <c:v>4.78</c:v>
                </c:pt>
                <c:pt idx="133">
                  <c:v>5</c:v>
                </c:pt>
                <c:pt idx="134">
                  <c:v>4.84</c:v>
                </c:pt>
                <c:pt idx="135">
                  <c:v>9.1999999999999993</c:v>
                </c:pt>
                <c:pt idx="136">
                  <c:v>12.55</c:v>
                </c:pt>
                <c:pt idx="137">
                  <c:v>16.75</c:v>
                </c:pt>
                <c:pt idx="138">
                  <c:v>17.579999999999998</c:v>
                </c:pt>
                <c:pt idx="139">
                  <c:v>17.22</c:v>
                </c:pt>
                <c:pt idx="140">
                  <c:v>15.32</c:v>
                </c:pt>
                <c:pt idx="141">
                  <c:v>16.87</c:v>
                </c:pt>
                <c:pt idx="142">
                  <c:v>15.24</c:v>
                </c:pt>
                <c:pt idx="143">
                  <c:v>15.13</c:v>
                </c:pt>
                <c:pt idx="144">
                  <c:v>13.67</c:v>
                </c:pt>
                <c:pt idx="145">
                  <c:v>11.17</c:v>
                </c:pt>
                <c:pt idx="146">
                  <c:v>12.12</c:v>
                </c:pt>
                <c:pt idx="147">
                  <c:v>14.49</c:v>
                </c:pt>
                <c:pt idx="148">
                  <c:v>16.37</c:v>
                </c:pt>
                <c:pt idx="149">
                  <c:v>18.2</c:v>
                </c:pt>
                <c:pt idx="150">
                  <c:v>16.8</c:v>
                </c:pt>
                <c:pt idx="151">
                  <c:v>17.28</c:v>
                </c:pt>
                <c:pt idx="152">
                  <c:v>10.8</c:v>
                </c:pt>
                <c:pt idx="153">
                  <c:v>7.18</c:v>
                </c:pt>
                <c:pt idx="154">
                  <c:v>5.84</c:v>
                </c:pt>
                <c:pt idx="155">
                  <c:v>6.35</c:v>
                </c:pt>
                <c:pt idx="156">
                  <c:v>6.25</c:v>
                </c:pt>
                <c:pt idx="157">
                  <c:v>4.83</c:v>
                </c:pt>
                <c:pt idx="158">
                  <c:v>3.91</c:v>
                </c:pt>
                <c:pt idx="159">
                  <c:v>3.67</c:v>
                </c:pt>
                <c:pt idx="160">
                  <c:v>3.1</c:v>
                </c:pt>
                <c:pt idx="161">
                  <c:v>3.9</c:v>
                </c:pt>
                <c:pt idx="162">
                  <c:v>3.97</c:v>
                </c:pt>
                <c:pt idx="163">
                  <c:v>3.69</c:v>
                </c:pt>
                <c:pt idx="164">
                  <c:v>3.6</c:v>
                </c:pt>
                <c:pt idx="165">
                  <c:v>3.78</c:v>
                </c:pt>
                <c:pt idx="166">
                  <c:v>3.98</c:v>
                </c:pt>
                <c:pt idx="167">
                  <c:v>5.12</c:v>
                </c:pt>
                <c:pt idx="168">
                  <c:v>6.65</c:v>
                </c:pt>
                <c:pt idx="169">
                  <c:v>6.66</c:v>
                </c:pt>
                <c:pt idx="170">
                  <c:v>7.94</c:v>
                </c:pt>
                <c:pt idx="171">
                  <c:v>8.91</c:v>
                </c:pt>
                <c:pt idx="172">
                  <c:v>9.43</c:v>
                </c:pt>
                <c:pt idx="173">
                  <c:v>13.26</c:v>
                </c:pt>
                <c:pt idx="174">
                  <c:v>20.74</c:v>
                </c:pt>
                <c:pt idx="175">
                  <c:v>24.23</c:v>
                </c:pt>
                <c:pt idx="176">
                  <c:v>16.77</c:v>
                </c:pt>
                <c:pt idx="177">
                  <c:v>7.22</c:v>
                </c:pt>
                <c:pt idx="178">
                  <c:v>6.24</c:v>
                </c:pt>
                <c:pt idx="179">
                  <c:v>7.79</c:v>
                </c:pt>
                <c:pt idx="181">
                  <c:v>8.69</c:v>
                </c:pt>
                <c:pt idx="182">
                  <c:v>8.64</c:v>
                </c:pt>
                <c:pt idx="183">
                  <c:v>6.87</c:v>
                </c:pt>
                <c:pt idx="184">
                  <c:v>9.18</c:v>
                </c:pt>
                <c:pt idx="185">
                  <c:v>7.52</c:v>
                </c:pt>
                <c:pt idx="186">
                  <c:v>6.69</c:v>
                </c:pt>
                <c:pt idx="187">
                  <c:v>5.92</c:v>
                </c:pt>
                <c:pt idx="188">
                  <c:v>6.85</c:v>
                </c:pt>
                <c:pt idx="189">
                  <c:v>8.49</c:v>
                </c:pt>
                <c:pt idx="190">
                  <c:v>8.4600000000000009</c:v>
                </c:pt>
                <c:pt idx="191">
                  <c:v>5.59</c:v>
                </c:pt>
                <c:pt idx="192">
                  <c:v>8.0399999999999991</c:v>
                </c:pt>
                <c:pt idx="193">
                  <c:v>16</c:v>
                </c:pt>
                <c:pt idx="194">
                  <c:v>20.100000000000001</c:v>
                </c:pt>
                <c:pt idx="195">
                  <c:v>21.69</c:v>
                </c:pt>
                <c:pt idx="196">
                  <c:v>17.940000000000001</c:v>
                </c:pt>
                <c:pt idx="197">
                  <c:v>22.2</c:v>
                </c:pt>
                <c:pt idx="198">
                  <c:v>35.57</c:v>
                </c:pt>
                <c:pt idx="199">
                  <c:v>38.78</c:v>
                </c:pt>
                <c:pt idx="200">
                  <c:v>40.090000000000003</c:v>
                </c:pt>
                <c:pt idx="201">
                  <c:v>24.94</c:v>
                </c:pt>
                <c:pt idx="202">
                  <c:v>14.5</c:v>
                </c:pt>
                <c:pt idx="203">
                  <c:v>8.2200000000000006</c:v>
                </c:pt>
                <c:pt idx="204">
                  <c:v>3.68</c:v>
                </c:pt>
                <c:pt idx="205">
                  <c:v>4.2699999999999996</c:v>
                </c:pt>
                <c:pt idx="206">
                  <c:v>3.66</c:v>
                </c:pt>
                <c:pt idx="207">
                  <c:v>5.12</c:v>
                </c:pt>
                <c:pt idx="208">
                  <c:v>6.82</c:v>
                </c:pt>
                <c:pt idx="209">
                  <c:v>8.23</c:v>
                </c:pt>
                <c:pt idx="210">
                  <c:v>8.06</c:v>
                </c:pt>
                <c:pt idx="211">
                  <c:v>10.130000000000001</c:v>
                </c:pt>
                <c:pt idx="212">
                  <c:v>15.96</c:v>
                </c:pt>
                <c:pt idx="213">
                  <c:v>17.38</c:v>
                </c:pt>
                <c:pt idx="214">
                  <c:v>18.48</c:v>
                </c:pt>
                <c:pt idx="215">
                  <c:v>22.74</c:v>
                </c:pt>
                <c:pt idx="216">
                  <c:v>19.23</c:v>
                </c:pt>
                <c:pt idx="217">
                  <c:v>11.21</c:v>
                </c:pt>
                <c:pt idx="218">
                  <c:v>9.15</c:v>
                </c:pt>
                <c:pt idx="219">
                  <c:v>10.98</c:v>
                </c:pt>
                <c:pt idx="220">
                  <c:v>19.62</c:v>
                </c:pt>
                <c:pt idx="221">
                  <c:v>65.349999999999994</c:v>
                </c:pt>
                <c:pt idx="222">
                  <c:v>84.41</c:v>
                </c:pt>
                <c:pt idx="223">
                  <c:v>69.89</c:v>
                </c:pt>
                <c:pt idx="224">
                  <c:v>24.3</c:v>
                </c:pt>
                <c:pt idx="225">
                  <c:v>22.34</c:v>
                </c:pt>
                <c:pt idx="226">
                  <c:v>18.68</c:v>
                </c:pt>
                <c:pt idx="227">
                  <c:v>16.48</c:v>
                </c:pt>
                <c:pt idx="228">
                  <c:v>15.31</c:v>
                </c:pt>
                <c:pt idx="229">
                  <c:v>11.63</c:v>
                </c:pt>
                <c:pt idx="230">
                  <c:v>10.41</c:v>
                </c:pt>
                <c:pt idx="231">
                  <c:v>7.34</c:v>
                </c:pt>
                <c:pt idx="232">
                  <c:v>8.36</c:v>
                </c:pt>
                <c:pt idx="233">
                  <c:v>7.98</c:v>
                </c:pt>
                <c:pt idx="234">
                  <c:v>9.18</c:v>
                </c:pt>
                <c:pt idx="235">
                  <c:v>7.7</c:v>
                </c:pt>
                <c:pt idx="236">
                  <c:v>6.94</c:v>
                </c:pt>
                <c:pt idx="237">
                  <c:v>4.8600000000000003</c:v>
                </c:pt>
                <c:pt idx="238">
                  <c:v>3.41</c:v>
                </c:pt>
                <c:pt idx="239">
                  <c:v>5.39</c:v>
                </c:pt>
                <c:pt idx="240">
                  <c:v>7.55</c:v>
                </c:pt>
                <c:pt idx="241">
                  <c:v>10.84</c:v>
                </c:pt>
                <c:pt idx="242">
                  <c:v>13.98</c:v>
                </c:pt>
                <c:pt idx="243">
                  <c:v>13.91</c:v>
                </c:pt>
                <c:pt idx="244">
                  <c:v>19.22</c:v>
                </c:pt>
                <c:pt idx="245">
                  <c:v>37.549999999999997</c:v>
                </c:pt>
                <c:pt idx="246">
                  <c:v>60.69</c:v>
                </c:pt>
                <c:pt idx="247">
                  <c:v>25.64</c:v>
                </c:pt>
                <c:pt idx="248">
                  <c:v>17.38</c:v>
                </c:pt>
                <c:pt idx="249">
                  <c:v>10.71</c:v>
                </c:pt>
                <c:pt idx="250">
                  <c:v>5.27</c:v>
                </c:pt>
                <c:pt idx="251">
                  <c:v>4.58</c:v>
                </c:pt>
                <c:pt idx="252">
                  <c:v>4.0599999999999996</c:v>
                </c:pt>
                <c:pt idx="253">
                  <c:v>3.88</c:v>
                </c:pt>
                <c:pt idx="254">
                  <c:v>5.12</c:v>
                </c:pt>
                <c:pt idx="255">
                  <c:v>11.17</c:v>
                </c:pt>
                <c:pt idx="256">
                  <c:v>11.16</c:v>
                </c:pt>
                <c:pt idx="257">
                  <c:v>12.8</c:v>
                </c:pt>
                <c:pt idx="258">
                  <c:v>11.98</c:v>
                </c:pt>
                <c:pt idx="259">
                  <c:v>13.23</c:v>
                </c:pt>
                <c:pt idx="260">
                  <c:v>13.12</c:v>
                </c:pt>
                <c:pt idx="261">
                  <c:v>18.239999999999998</c:v>
                </c:pt>
                <c:pt idx="262">
                  <c:v>32.11</c:v>
                </c:pt>
                <c:pt idx="263">
                  <c:v>21.51</c:v>
                </c:pt>
                <c:pt idx="264">
                  <c:v>35.880000000000003</c:v>
                </c:pt>
                <c:pt idx="265">
                  <c:v>28.23</c:v>
                </c:pt>
                <c:pt idx="266">
                  <c:v>8.5500000000000007</c:v>
                </c:pt>
                <c:pt idx="267">
                  <c:v>6.71</c:v>
                </c:pt>
                <c:pt idx="268">
                  <c:v>7.37</c:v>
                </c:pt>
                <c:pt idx="269">
                  <c:v>11.21</c:v>
                </c:pt>
                <c:pt idx="270">
                  <c:v>12.11</c:v>
                </c:pt>
                <c:pt idx="271">
                  <c:v>13.04</c:v>
                </c:pt>
                <c:pt idx="272">
                  <c:v>11.04</c:v>
                </c:pt>
                <c:pt idx="273">
                  <c:v>6.93</c:v>
                </c:pt>
                <c:pt idx="274">
                  <c:v>7.1</c:v>
                </c:pt>
                <c:pt idx="275">
                  <c:v>7.3</c:v>
                </c:pt>
                <c:pt idx="276">
                  <c:v>9.61</c:v>
                </c:pt>
                <c:pt idx="277">
                  <c:v>8.84</c:v>
                </c:pt>
                <c:pt idx="278">
                  <c:v>6.39</c:v>
                </c:pt>
                <c:pt idx="279">
                  <c:v>6.93</c:v>
                </c:pt>
                <c:pt idx="280">
                  <c:v>8.86</c:v>
                </c:pt>
                <c:pt idx="281">
                  <c:v>10.9</c:v>
                </c:pt>
                <c:pt idx="282">
                  <c:v>10.94</c:v>
                </c:pt>
                <c:pt idx="283">
                  <c:v>10.45</c:v>
                </c:pt>
                <c:pt idx="284">
                  <c:v>10.51</c:v>
                </c:pt>
                <c:pt idx="285">
                  <c:v>6.43</c:v>
                </c:pt>
                <c:pt idx="286">
                  <c:v>7.45</c:v>
                </c:pt>
                <c:pt idx="287">
                  <c:v>6.96</c:v>
                </c:pt>
                <c:pt idx="288">
                  <c:v>5.07</c:v>
                </c:pt>
                <c:pt idx="289">
                  <c:v>5.98</c:v>
                </c:pt>
                <c:pt idx="290">
                  <c:v>10.34</c:v>
                </c:pt>
                <c:pt idx="291">
                  <c:v>12.77</c:v>
                </c:pt>
                <c:pt idx="292">
                  <c:v>15.53</c:v>
                </c:pt>
                <c:pt idx="293">
                  <c:v>23.78</c:v>
                </c:pt>
                <c:pt idx="294">
                  <c:v>40.06</c:v>
                </c:pt>
                <c:pt idx="295">
                  <c:v>10.7</c:v>
                </c:pt>
                <c:pt idx="296">
                  <c:v>4.5</c:v>
                </c:pt>
                <c:pt idx="297">
                  <c:v>2.99</c:v>
                </c:pt>
                <c:pt idx="298">
                  <c:v>2.95</c:v>
                </c:pt>
                <c:pt idx="299">
                  <c:v>3.4</c:v>
                </c:pt>
                <c:pt idx="300">
                  <c:v>3.01</c:v>
                </c:pt>
                <c:pt idx="301">
                  <c:v>3.19</c:v>
                </c:pt>
                <c:pt idx="302">
                  <c:v>2.87</c:v>
                </c:pt>
                <c:pt idx="303">
                  <c:v>3.28</c:v>
                </c:pt>
                <c:pt idx="304">
                  <c:v>3.91</c:v>
                </c:pt>
                <c:pt idx="305">
                  <c:v>6.05</c:v>
                </c:pt>
                <c:pt idx="306">
                  <c:v>7.29</c:v>
                </c:pt>
                <c:pt idx="307">
                  <c:v>12.45</c:v>
                </c:pt>
                <c:pt idx="308">
                  <c:v>22.98</c:v>
                </c:pt>
                <c:pt idx="309">
                  <c:v>14.97</c:v>
                </c:pt>
                <c:pt idx="310">
                  <c:v>27.79</c:v>
                </c:pt>
                <c:pt idx="311">
                  <c:v>26.75</c:v>
                </c:pt>
                <c:pt idx="312">
                  <c:v>19.510000000000002</c:v>
                </c:pt>
                <c:pt idx="313">
                  <c:v>18.43</c:v>
                </c:pt>
                <c:pt idx="314">
                  <c:v>13.63</c:v>
                </c:pt>
                <c:pt idx="315">
                  <c:v>15.06</c:v>
                </c:pt>
                <c:pt idx="316">
                  <c:v>12.61</c:v>
                </c:pt>
                <c:pt idx="317">
                  <c:v>11.79</c:v>
                </c:pt>
                <c:pt idx="318">
                  <c:v>20.57</c:v>
                </c:pt>
                <c:pt idx="319">
                  <c:v>5.23</c:v>
                </c:pt>
                <c:pt idx="320">
                  <c:v>3</c:v>
                </c:pt>
                <c:pt idx="321">
                  <c:v>1.44</c:v>
                </c:pt>
                <c:pt idx="322">
                  <c:v>1.0900000000000001</c:v>
                </c:pt>
                <c:pt idx="323">
                  <c:v>1.07</c:v>
                </c:pt>
                <c:pt idx="324">
                  <c:v>8.0299999999999994</c:v>
                </c:pt>
                <c:pt idx="325">
                  <c:v>8.1</c:v>
                </c:pt>
                <c:pt idx="326">
                  <c:v>7.84</c:v>
                </c:pt>
                <c:pt idx="327">
                  <c:v>7.53</c:v>
                </c:pt>
                <c:pt idx="328">
                  <c:v>8.18</c:v>
                </c:pt>
                <c:pt idx="329">
                  <c:v>5.99</c:v>
                </c:pt>
                <c:pt idx="330">
                  <c:v>4.63</c:v>
                </c:pt>
                <c:pt idx="331">
                  <c:v>8.65</c:v>
                </c:pt>
                <c:pt idx="332">
                  <c:v>12.28</c:v>
                </c:pt>
                <c:pt idx="333">
                  <c:v>20.190000000000001</c:v>
                </c:pt>
                <c:pt idx="334">
                  <c:v>11.52</c:v>
                </c:pt>
                <c:pt idx="335">
                  <c:v>11.17</c:v>
                </c:pt>
              </c:numCache>
            </c:numRef>
          </c:xVal>
          <c:yVal>
            <c:numRef>
              <c:f>'Example ozone analysis'!$E$2:$E$337</c:f>
              <c:numCache>
                <c:formatCode>General</c:formatCode>
                <c:ptCount val="336"/>
                <c:pt idx="0">
                  <c:v>10.02</c:v>
                </c:pt>
                <c:pt idx="1">
                  <c:v>15.2</c:v>
                </c:pt>
                <c:pt idx="2">
                  <c:v>14.91</c:v>
                </c:pt>
                <c:pt idx="3">
                  <c:v>12.05</c:v>
                </c:pt>
                <c:pt idx="4">
                  <c:v>12.34</c:v>
                </c:pt>
                <c:pt idx="5">
                  <c:v>9.91</c:v>
                </c:pt>
                <c:pt idx="6">
                  <c:v>9.5299999999999994</c:v>
                </c:pt>
                <c:pt idx="7">
                  <c:v>10.56</c:v>
                </c:pt>
                <c:pt idx="8">
                  <c:v>11.14</c:v>
                </c:pt>
                <c:pt idx="9">
                  <c:v>11.69</c:v>
                </c:pt>
                <c:pt idx="10">
                  <c:v>12.48</c:v>
                </c:pt>
                <c:pt idx="11">
                  <c:v>17.510000000000002</c:v>
                </c:pt>
                <c:pt idx="12">
                  <c:v>21.62</c:v>
                </c:pt>
                <c:pt idx="13">
                  <c:v>20.07</c:v>
                </c:pt>
                <c:pt idx="14">
                  <c:v>17.510000000000002</c:v>
                </c:pt>
                <c:pt idx="15">
                  <c:v>18</c:v>
                </c:pt>
                <c:pt idx="16">
                  <c:v>14.7</c:v>
                </c:pt>
                <c:pt idx="17">
                  <c:v>12.77</c:v>
                </c:pt>
                <c:pt idx="18">
                  <c:v>13.33</c:v>
                </c:pt>
                <c:pt idx="19">
                  <c:v>13.01</c:v>
                </c:pt>
                <c:pt idx="20">
                  <c:v>14.64</c:v>
                </c:pt>
                <c:pt idx="21">
                  <c:v>16.350000000000001</c:v>
                </c:pt>
                <c:pt idx="22">
                  <c:v>15.36</c:v>
                </c:pt>
                <c:pt idx="23">
                  <c:v>14.28</c:v>
                </c:pt>
                <c:pt idx="24">
                  <c:v>10.210000000000001</c:v>
                </c:pt>
                <c:pt idx="25">
                  <c:v>11.95</c:v>
                </c:pt>
                <c:pt idx="26">
                  <c:v>10.86</c:v>
                </c:pt>
                <c:pt idx="27">
                  <c:v>6.33</c:v>
                </c:pt>
                <c:pt idx="28">
                  <c:v>0.71</c:v>
                </c:pt>
                <c:pt idx="29">
                  <c:v>0.51</c:v>
                </c:pt>
                <c:pt idx="30">
                  <c:v>1.37</c:v>
                </c:pt>
                <c:pt idx="31">
                  <c:v>6.33</c:v>
                </c:pt>
                <c:pt idx="32">
                  <c:v>12.44</c:v>
                </c:pt>
                <c:pt idx="33">
                  <c:v>13.35</c:v>
                </c:pt>
                <c:pt idx="34">
                  <c:v>17.98</c:v>
                </c:pt>
                <c:pt idx="35">
                  <c:v>18.66</c:v>
                </c:pt>
                <c:pt idx="36">
                  <c:v>21.35</c:v>
                </c:pt>
                <c:pt idx="37">
                  <c:v>21.58</c:v>
                </c:pt>
                <c:pt idx="38">
                  <c:v>24.28</c:v>
                </c:pt>
                <c:pt idx="39">
                  <c:v>25.27</c:v>
                </c:pt>
                <c:pt idx="40">
                  <c:v>23.21</c:v>
                </c:pt>
                <c:pt idx="41">
                  <c:v>21.42</c:v>
                </c:pt>
                <c:pt idx="42">
                  <c:v>19.22</c:v>
                </c:pt>
                <c:pt idx="43">
                  <c:v>18.96</c:v>
                </c:pt>
                <c:pt idx="44">
                  <c:v>17.739999999999998</c:v>
                </c:pt>
                <c:pt idx="45">
                  <c:v>14.04</c:v>
                </c:pt>
                <c:pt idx="46">
                  <c:v>13.95</c:v>
                </c:pt>
                <c:pt idx="47">
                  <c:v>11.81</c:v>
                </c:pt>
                <c:pt idx="48">
                  <c:v>14.23</c:v>
                </c:pt>
                <c:pt idx="49">
                  <c:v>15.72</c:v>
                </c:pt>
                <c:pt idx="50">
                  <c:v>14.99</c:v>
                </c:pt>
                <c:pt idx="51">
                  <c:v>12.61</c:v>
                </c:pt>
                <c:pt idx="52">
                  <c:v>8.18</c:v>
                </c:pt>
                <c:pt idx="53">
                  <c:v>1.19</c:v>
                </c:pt>
                <c:pt idx="54">
                  <c:v>2.72</c:v>
                </c:pt>
                <c:pt idx="55">
                  <c:v>8.66</c:v>
                </c:pt>
                <c:pt idx="56">
                  <c:v>10.89</c:v>
                </c:pt>
                <c:pt idx="57">
                  <c:v>15.17</c:v>
                </c:pt>
                <c:pt idx="58">
                  <c:v>16.64</c:v>
                </c:pt>
                <c:pt idx="59">
                  <c:v>17.809999999999999</c:v>
                </c:pt>
                <c:pt idx="60">
                  <c:v>17.71</c:v>
                </c:pt>
                <c:pt idx="61">
                  <c:v>23.55</c:v>
                </c:pt>
                <c:pt idx="62">
                  <c:v>20.82</c:v>
                </c:pt>
                <c:pt idx="63">
                  <c:v>16.66</c:v>
                </c:pt>
                <c:pt idx="64">
                  <c:v>15.12</c:v>
                </c:pt>
                <c:pt idx="65">
                  <c:v>13.91</c:v>
                </c:pt>
                <c:pt idx="66">
                  <c:v>12.51</c:v>
                </c:pt>
                <c:pt idx="67">
                  <c:v>11.03</c:v>
                </c:pt>
                <c:pt idx="68">
                  <c:v>7.53</c:v>
                </c:pt>
                <c:pt idx="69">
                  <c:v>2.61</c:v>
                </c:pt>
                <c:pt idx="70">
                  <c:v>0.2</c:v>
                </c:pt>
                <c:pt idx="71">
                  <c:v>0.13</c:v>
                </c:pt>
                <c:pt idx="72">
                  <c:v>0.14000000000000001</c:v>
                </c:pt>
                <c:pt idx="73">
                  <c:v>0.14000000000000001</c:v>
                </c:pt>
                <c:pt idx="74">
                  <c:v>0.15</c:v>
                </c:pt>
                <c:pt idx="75">
                  <c:v>0.19</c:v>
                </c:pt>
                <c:pt idx="76">
                  <c:v>0.18</c:v>
                </c:pt>
                <c:pt idx="77">
                  <c:v>0.23</c:v>
                </c:pt>
                <c:pt idx="78">
                  <c:v>0.68</c:v>
                </c:pt>
                <c:pt idx="79">
                  <c:v>3.31</c:v>
                </c:pt>
                <c:pt idx="80">
                  <c:v>7.68</c:v>
                </c:pt>
                <c:pt idx="81">
                  <c:v>4.78</c:v>
                </c:pt>
                <c:pt idx="82">
                  <c:v>10.06</c:v>
                </c:pt>
                <c:pt idx="83">
                  <c:v>15.27</c:v>
                </c:pt>
                <c:pt idx="84">
                  <c:v>21.07</c:v>
                </c:pt>
                <c:pt idx="85">
                  <c:v>28.16</c:v>
                </c:pt>
                <c:pt idx="86">
                  <c:v>33.19</c:v>
                </c:pt>
                <c:pt idx="87">
                  <c:v>32.11</c:v>
                </c:pt>
                <c:pt idx="88">
                  <c:v>29.91</c:v>
                </c:pt>
                <c:pt idx="89">
                  <c:v>22.11</c:v>
                </c:pt>
                <c:pt idx="90">
                  <c:v>15.7</c:v>
                </c:pt>
                <c:pt idx="91">
                  <c:v>13.55</c:v>
                </c:pt>
                <c:pt idx="92">
                  <c:v>11.11</c:v>
                </c:pt>
                <c:pt idx="93">
                  <c:v>9.26</c:v>
                </c:pt>
                <c:pt idx="94">
                  <c:v>6.75</c:v>
                </c:pt>
                <c:pt idx="95">
                  <c:v>0.56999999999999995</c:v>
                </c:pt>
                <c:pt idx="96">
                  <c:v>0.08</c:v>
                </c:pt>
                <c:pt idx="97">
                  <c:v>0.14000000000000001</c:v>
                </c:pt>
                <c:pt idx="98">
                  <c:v>0.13</c:v>
                </c:pt>
                <c:pt idx="99">
                  <c:v>0.13</c:v>
                </c:pt>
                <c:pt idx="100">
                  <c:v>0.1</c:v>
                </c:pt>
                <c:pt idx="101">
                  <c:v>0.14000000000000001</c:v>
                </c:pt>
                <c:pt idx="102">
                  <c:v>0.41</c:v>
                </c:pt>
                <c:pt idx="103">
                  <c:v>3.81</c:v>
                </c:pt>
                <c:pt idx="104">
                  <c:v>15.28</c:v>
                </c:pt>
                <c:pt idx="105">
                  <c:v>30.68</c:v>
                </c:pt>
                <c:pt idx="106">
                  <c:v>39.14</c:v>
                </c:pt>
                <c:pt idx="107">
                  <c:v>49.02</c:v>
                </c:pt>
                <c:pt idx="108">
                  <c:v>51.06</c:v>
                </c:pt>
                <c:pt idx="109">
                  <c:v>53.3</c:v>
                </c:pt>
                <c:pt idx="110">
                  <c:v>49.05</c:v>
                </c:pt>
                <c:pt idx="111">
                  <c:v>51.92</c:v>
                </c:pt>
                <c:pt idx="112">
                  <c:v>43.76</c:v>
                </c:pt>
                <c:pt idx="113">
                  <c:v>28.89</c:v>
                </c:pt>
                <c:pt idx="114">
                  <c:v>30.39</c:v>
                </c:pt>
                <c:pt idx="115">
                  <c:v>33.299999999999997</c:v>
                </c:pt>
                <c:pt idx="116">
                  <c:v>28.09</c:v>
                </c:pt>
                <c:pt idx="117">
                  <c:v>15.44</c:v>
                </c:pt>
                <c:pt idx="118">
                  <c:v>18.03</c:v>
                </c:pt>
                <c:pt idx="119">
                  <c:v>36.840000000000003</c:v>
                </c:pt>
                <c:pt idx="120">
                  <c:v>35.01</c:v>
                </c:pt>
                <c:pt idx="121">
                  <c:v>25.28</c:v>
                </c:pt>
                <c:pt idx="122">
                  <c:v>26.06</c:v>
                </c:pt>
                <c:pt idx="123">
                  <c:v>17.89</c:v>
                </c:pt>
                <c:pt idx="124">
                  <c:v>12.53</c:v>
                </c:pt>
                <c:pt idx="125">
                  <c:v>5.77</c:v>
                </c:pt>
                <c:pt idx="126">
                  <c:v>5.12</c:v>
                </c:pt>
                <c:pt idx="127">
                  <c:v>11.79</c:v>
                </c:pt>
                <c:pt idx="128">
                  <c:v>22.01</c:v>
                </c:pt>
                <c:pt idx="129">
                  <c:v>20.49</c:v>
                </c:pt>
                <c:pt idx="130">
                  <c:v>16.02</c:v>
                </c:pt>
                <c:pt idx="131">
                  <c:v>13.49</c:v>
                </c:pt>
                <c:pt idx="132">
                  <c:v>13.59</c:v>
                </c:pt>
                <c:pt idx="133">
                  <c:v>14.4</c:v>
                </c:pt>
                <c:pt idx="134">
                  <c:v>14.42</c:v>
                </c:pt>
                <c:pt idx="135">
                  <c:v>9.68</c:v>
                </c:pt>
                <c:pt idx="136">
                  <c:v>7.06</c:v>
                </c:pt>
                <c:pt idx="137">
                  <c:v>4</c:v>
                </c:pt>
                <c:pt idx="138">
                  <c:v>1.92</c:v>
                </c:pt>
                <c:pt idx="139">
                  <c:v>1.26</c:v>
                </c:pt>
                <c:pt idx="140">
                  <c:v>2.2999999999999998</c:v>
                </c:pt>
                <c:pt idx="141">
                  <c:v>1.31</c:v>
                </c:pt>
                <c:pt idx="142">
                  <c:v>1.56</c:v>
                </c:pt>
                <c:pt idx="143">
                  <c:v>0.77</c:v>
                </c:pt>
                <c:pt idx="144">
                  <c:v>0.78</c:v>
                </c:pt>
                <c:pt idx="145">
                  <c:v>1.1599999999999999</c:v>
                </c:pt>
                <c:pt idx="146">
                  <c:v>0.38</c:v>
                </c:pt>
                <c:pt idx="147">
                  <c:v>0.06</c:v>
                </c:pt>
                <c:pt idx="148">
                  <c:v>0.06</c:v>
                </c:pt>
                <c:pt idx="149">
                  <c:v>0.11</c:v>
                </c:pt>
                <c:pt idx="150">
                  <c:v>0.79</c:v>
                </c:pt>
                <c:pt idx="151">
                  <c:v>2.2400000000000002</c:v>
                </c:pt>
                <c:pt idx="152">
                  <c:v>8.9700000000000006</c:v>
                </c:pt>
                <c:pt idx="153">
                  <c:v>11.15</c:v>
                </c:pt>
                <c:pt idx="154">
                  <c:v>13.44</c:v>
                </c:pt>
                <c:pt idx="155">
                  <c:v>14.21</c:v>
                </c:pt>
                <c:pt idx="156">
                  <c:v>14.21</c:v>
                </c:pt>
                <c:pt idx="157">
                  <c:v>14.79</c:v>
                </c:pt>
                <c:pt idx="158">
                  <c:v>14.58</c:v>
                </c:pt>
                <c:pt idx="159">
                  <c:v>16.21</c:v>
                </c:pt>
                <c:pt idx="160">
                  <c:v>17.579999999999998</c:v>
                </c:pt>
                <c:pt idx="161">
                  <c:v>17</c:v>
                </c:pt>
                <c:pt idx="162">
                  <c:v>16.690000000000001</c:v>
                </c:pt>
                <c:pt idx="163">
                  <c:v>15.44</c:v>
                </c:pt>
                <c:pt idx="164">
                  <c:v>14.44</c:v>
                </c:pt>
                <c:pt idx="165">
                  <c:v>13.24</c:v>
                </c:pt>
                <c:pt idx="166">
                  <c:v>11.3</c:v>
                </c:pt>
                <c:pt idx="167">
                  <c:v>9.23</c:v>
                </c:pt>
                <c:pt idx="168">
                  <c:v>6.45</c:v>
                </c:pt>
                <c:pt idx="169">
                  <c:v>5.67</c:v>
                </c:pt>
                <c:pt idx="170">
                  <c:v>3.39</c:v>
                </c:pt>
                <c:pt idx="171">
                  <c:v>2.1</c:v>
                </c:pt>
                <c:pt idx="172">
                  <c:v>3.65</c:v>
                </c:pt>
                <c:pt idx="173">
                  <c:v>1.91</c:v>
                </c:pt>
                <c:pt idx="174">
                  <c:v>0.84</c:v>
                </c:pt>
                <c:pt idx="175">
                  <c:v>2.0099999999999998</c:v>
                </c:pt>
                <c:pt idx="176">
                  <c:v>6.53</c:v>
                </c:pt>
                <c:pt idx="177">
                  <c:v>12.88</c:v>
                </c:pt>
                <c:pt idx="178">
                  <c:v>14.65</c:v>
                </c:pt>
                <c:pt idx="179">
                  <c:v>12.68</c:v>
                </c:pt>
                <c:pt idx="181">
                  <c:v>9.9</c:v>
                </c:pt>
                <c:pt idx="182">
                  <c:v>11.43</c:v>
                </c:pt>
                <c:pt idx="183">
                  <c:v>12.86</c:v>
                </c:pt>
                <c:pt idx="184">
                  <c:v>11.1</c:v>
                </c:pt>
                <c:pt idx="185">
                  <c:v>11.01</c:v>
                </c:pt>
                <c:pt idx="186">
                  <c:v>10.49</c:v>
                </c:pt>
                <c:pt idx="187">
                  <c:v>10.45</c:v>
                </c:pt>
                <c:pt idx="188">
                  <c:v>9.2100000000000009</c:v>
                </c:pt>
                <c:pt idx="189">
                  <c:v>7.65</c:v>
                </c:pt>
                <c:pt idx="190">
                  <c:v>7.57</c:v>
                </c:pt>
                <c:pt idx="191">
                  <c:v>9.08</c:v>
                </c:pt>
                <c:pt idx="192">
                  <c:v>4.3499999999999996</c:v>
                </c:pt>
                <c:pt idx="193">
                  <c:v>0.57999999999999996</c:v>
                </c:pt>
                <c:pt idx="194">
                  <c:v>0.2</c:v>
                </c:pt>
                <c:pt idx="195">
                  <c:v>0.21</c:v>
                </c:pt>
                <c:pt idx="196">
                  <c:v>0.19</c:v>
                </c:pt>
                <c:pt idx="197">
                  <c:v>0.19</c:v>
                </c:pt>
                <c:pt idx="198">
                  <c:v>0.6</c:v>
                </c:pt>
                <c:pt idx="199">
                  <c:v>1.36</c:v>
                </c:pt>
                <c:pt idx="200">
                  <c:v>3.49</c:v>
                </c:pt>
                <c:pt idx="201">
                  <c:v>7.58</c:v>
                </c:pt>
                <c:pt idx="202">
                  <c:v>8.93</c:v>
                </c:pt>
                <c:pt idx="203">
                  <c:v>12.13</c:v>
                </c:pt>
                <c:pt idx="204">
                  <c:v>15.59</c:v>
                </c:pt>
                <c:pt idx="205">
                  <c:v>16.23</c:v>
                </c:pt>
                <c:pt idx="206">
                  <c:v>17.88</c:v>
                </c:pt>
                <c:pt idx="207">
                  <c:v>16.5</c:v>
                </c:pt>
                <c:pt idx="208">
                  <c:v>14.72</c:v>
                </c:pt>
                <c:pt idx="209">
                  <c:v>11.75</c:v>
                </c:pt>
                <c:pt idx="210">
                  <c:v>9.0299999999999994</c:v>
                </c:pt>
                <c:pt idx="211">
                  <c:v>5.79</c:v>
                </c:pt>
                <c:pt idx="212">
                  <c:v>2.4</c:v>
                </c:pt>
                <c:pt idx="213">
                  <c:v>0.59</c:v>
                </c:pt>
                <c:pt idx="214">
                  <c:v>0.27</c:v>
                </c:pt>
                <c:pt idx="215">
                  <c:v>0.15</c:v>
                </c:pt>
                <c:pt idx="216">
                  <c:v>0.27</c:v>
                </c:pt>
                <c:pt idx="217">
                  <c:v>1.43</c:v>
                </c:pt>
                <c:pt idx="218">
                  <c:v>2.44</c:v>
                </c:pt>
                <c:pt idx="219">
                  <c:v>0.63</c:v>
                </c:pt>
                <c:pt idx="220">
                  <c:v>0.14000000000000001</c:v>
                </c:pt>
                <c:pt idx="221">
                  <c:v>0.21</c:v>
                </c:pt>
                <c:pt idx="222">
                  <c:v>0.31</c:v>
                </c:pt>
                <c:pt idx="223">
                  <c:v>0.77</c:v>
                </c:pt>
                <c:pt idx="224">
                  <c:v>3.94</c:v>
                </c:pt>
                <c:pt idx="225">
                  <c:v>7.01</c:v>
                </c:pt>
                <c:pt idx="226">
                  <c:v>11.88</c:v>
                </c:pt>
                <c:pt idx="227">
                  <c:v>17.66</c:v>
                </c:pt>
                <c:pt idx="228">
                  <c:v>22.35</c:v>
                </c:pt>
                <c:pt idx="229">
                  <c:v>31.01</c:v>
                </c:pt>
                <c:pt idx="230">
                  <c:v>25.84</c:v>
                </c:pt>
                <c:pt idx="231">
                  <c:v>21</c:v>
                </c:pt>
                <c:pt idx="232">
                  <c:v>24</c:v>
                </c:pt>
                <c:pt idx="233">
                  <c:v>18.350000000000001</c:v>
                </c:pt>
                <c:pt idx="234">
                  <c:v>9.16</c:v>
                </c:pt>
                <c:pt idx="235">
                  <c:v>8.56</c:v>
                </c:pt>
                <c:pt idx="236">
                  <c:v>7.78</c:v>
                </c:pt>
                <c:pt idx="237">
                  <c:v>9.3699999999999992</c:v>
                </c:pt>
                <c:pt idx="238">
                  <c:v>9.42</c:v>
                </c:pt>
                <c:pt idx="239">
                  <c:v>6.59</c:v>
                </c:pt>
                <c:pt idx="240">
                  <c:v>3.33</c:v>
                </c:pt>
                <c:pt idx="241">
                  <c:v>0.7</c:v>
                </c:pt>
                <c:pt idx="242">
                  <c:v>0.17</c:v>
                </c:pt>
                <c:pt idx="243">
                  <c:v>0.24</c:v>
                </c:pt>
                <c:pt idx="244">
                  <c:v>0.13</c:v>
                </c:pt>
                <c:pt idx="245">
                  <c:v>0.09</c:v>
                </c:pt>
                <c:pt idx="246">
                  <c:v>0.47</c:v>
                </c:pt>
                <c:pt idx="247">
                  <c:v>2.5499999999999998</c:v>
                </c:pt>
                <c:pt idx="248">
                  <c:v>5.25</c:v>
                </c:pt>
                <c:pt idx="249">
                  <c:v>11.66</c:v>
                </c:pt>
                <c:pt idx="250">
                  <c:v>26.89</c:v>
                </c:pt>
                <c:pt idx="251">
                  <c:v>37.25</c:v>
                </c:pt>
                <c:pt idx="252">
                  <c:v>41.83</c:v>
                </c:pt>
                <c:pt idx="253">
                  <c:v>40.840000000000003</c:v>
                </c:pt>
                <c:pt idx="254">
                  <c:v>41.76</c:v>
                </c:pt>
                <c:pt idx="255">
                  <c:v>36.42</c:v>
                </c:pt>
                <c:pt idx="256">
                  <c:v>37.659999999999997</c:v>
                </c:pt>
                <c:pt idx="257">
                  <c:v>31.18</c:v>
                </c:pt>
                <c:pt idx="258">
                  <c:v>32.79</c:v>
                </c:pt>
                <c:pt idx="259">
                  <c:v>29.86</c:v>
                </c:pt>
                <c:pt idx="260">
                  <c:v>23.81</c:v>
                </c:pt>
                <c:pt idx="261">
                  <c:v>11.44</c:v>
                </c:pt>
                <c:pt idx="262">
                  <c:v>3.78</c:v>
                </c:pt>
                <c:pt idx="263">
                  <c:v>0.39</c:v>
                </c:pt>
                <c:pt idx="264">
                  <c:v>0</c:v>
                </c:pt>
                <c:pt idx="265">
                  <c:v>2.5499999999999998</c:v>
                </c:pt>
                <c:pt idx="266">
                  <c:v>17.48</c:v>
                </c:pt>
                <c:pt idx="267">
                  <c:v>18.489999999999998</c:v>
                </c:pt>
                <c:pt idx="268">
                  <c:v>14.39</c:v>
                </c:pt>
                <c:pt idx="269">
                  <c:v>9.91</c:v>
                </c:pt>
                <c:pt idx="270">
                  <c:v>8.1300000000000008</c:v>
                </c:pt>
                <c:pt idx="271">
                  <c:v>7.63</c:v>
                </c:pt>
                <c:pt idx="272">
                  <c:v>10.93</c:v>
                </c:pt>
                <c:pt idx="273">
                  <c:v>15.63</c:v>
                </c:pt>
                <c:pt idx="274">
                  <c:v>16.010000000000002</c:v>
                </c:pt>
                <c:pt idx="275">
                  <c:v>18.18</c:v>
                </c:pt>
                <c:pt idx="276">
                  <c:v>22.54</c:v>
                </c:pt>
                <c:pt idx="277">
                  <c:v>27.22</c:v>
                </c:pt>
                <c:pt idx="278">
                  <c:v>32.299999999999997</c:v>
                </c:pt>
                <c:pt idx="279">
                  <c:v>32.770000000000003</c:v>
                </c:pt>
                <c:pt idx="280">
                  <c:v>27.84</c:v>
                </c:pt>
                <c:pt idx="281">
                  <c:v>21.28</c:v>
                </c:pt>
                <c:pt idx="282">
                  <c:v>17.100000000000001</c:v>
                </c:pt>
                <c:pt idx="283">
                  <c:v>15.31</c:v>
                </c:pt>
                <c:pt idx="284">
                  <c:v>13.72</c:v>
                </c:pt>
                <c:pt idx="285">
                  <c:v>18.579999999999998</c:v>
                </c:pt>
                <c:pt idx="286">
                  <c:v>15.54</c:v>
                </c:pt>
                <c:pt idx="287">
                  <c:v>14.14</c:v>
                </c:pt>
                <c:pt idx="288">
                  <c:v>13.95</c:v>
                </c:pt>
                <c:pt idx="289">
                  <c:v>10.08</c:v>
                </c:pt>
                <c:pt idx="290">
                  <c:v>3.69</c:v>
                </c:pt>
                <c:pt idx="291">
                  <c:v>0.42</c:v>
                </c:pt>
                <c:pt idx="292">
                  <c:v>0.12</c:v>
                </c:pt>
                <c:pt idx="293">
                  <c:v>0.14000000000000001</c:v>
                </c:pt>
                <c:pt idx="294">
                  <c:v>0.7</c:v>
                </c:pt>
                <c:pt idx="295">
                  <c:v>5.68</c:v>
                </c:pt>
                <c:pt idx="296">
                  <c:v>13.11</c:v>
                </c:pt>
                <c:pt idx="297">
                  <c:v>20.09</c:v>
                </c:pt>
                <c:pt idx="298">
                  <c:v>24.97</c:v>
                </c:pt>
                <c:pt idx="299">
                  <c:v>25.68</c:v>
                </c:pt>
                <c:pt idx="300">
                  <c:v>26.87</c:v>
                </c:pt>
                <c:pt idx="301">
                  <c:v>28.48</c:v>
                </c:pt>
                <c:pt idx="302">
                  <c:v>34.9</c:v>
                </c:pt>
                <c:pt idx="303">
                  <c:v>34.43</c:v>
                </c:pt>
                <c:pt idx="304">
                  <c:v>35.590000000000003</c:v>
                </c:pt>
                <c:pt idx="305">
                  <c:v>33.83</c:v>
                </c:pt>
                <c:pt idx="306">
                  <c:v>28.09</c:v>
                </c:pt>
                <c:pt idx="307">
                  <c:v>18.09</c:v>
                </c:pt>
                <c:pt idx="308">
                  <c:v>6.39</c:v>
                </c:pt>
                <c:pt idx="309">
                  <c:v>11.47</c:v>
                </c:pt>
                <c:pt idx="310">
                  <c:v>4.3899999999999997</c:v>
                </c:pt>
                <c:pt idx="311">
                  <c:v>0.71</c:v>
                </c:pt>
                <c:pt idx="312">
                  <c:v>1.1100000000000001</c:v>
                </c:pt>
                <c:pt idx="313">
                  <c:v>0.89</c:v>
                </c:pt>
                <c:pt idx="314">
                  <c:v>2.83</c:v>
                </c:pt>
                <c:pt idx="315">
                  <c:v>1.0900000000000001</c:v>
                </c:pt>
                <c:pt idx="316">
                  <c:v>2.87</c:v>
                </c:pt>
                <c:pt idx="317">
                  <c:v>3.47</c:v>
                </c:pt>
                <c:pt idx="318">
                  <c:v>3.68</c:v>
                </c:pt>
                <c:pt idx="319">
                  <c:v>18.61</c:v>
                </c:pt>
                <c:pt idx="320">
                  <c:v>26.58</c:v>
                </c:pt>
                <c:pt idx="321">
                  <c:v>31.46</c:v>
                </c:pt>
                <c:pt idx="322">
                  <c:v>29.84</c:v>
                </c:pt>
                <c:pt idx="323">
                  <c:v>32.380000000000003</c:v>
                </c:pt>
                <c:pt idx="324">
                  <c:v>44.13</c:v>
                </c:pt>
                <c:pt idx="325">
                  <c:v>49.17</c:v>
                </c:pt>
                <c:pt idx="326">
                  <c:v>53.98</c:v>
                </c:pt>
                <c:pt idx="327">
                  <c:v>60.16</c:v>
                </c:pt>
                <c:pt idx="328">
                  <c:v>60.71</c:v>
                </c:pt>
                <c:pt idx="329">
                  <c:v>45.4</c:v>
                </c:pt>
                <c:pt idx="330">
                  <c:v>38.5</c:v>
                </c:pt>
                <c:pt idx="331">
                  <c:v>29.92</c:v>
                </c:pt>
                <c:pt idx="332">
                  <c:v>20.07</c:v>
                </c:pt>
                <c:pt idx="333">
                  <c:v>8.41</c:v>
                </c:pt>
                <c:pt idx="334">
                  <c:v>13.92</c:v>
                </c:pt>
                <c:pt idx="335">
                  <c:v>12.79</c:v>
                </c:pt>
              </c:numCache>
            </c:numRef>
          </c:yVal>
          <c:smooth val="0"/>
          <c:extLst>
            <c:ext xmlns:c16="http://schemas.microsoft.com/office/drawing/2014/chart" uri="{C3380CC4-5D6E-409C-BE32-E72D297353CC}">
              <c16:uniqueId val="{00000000-50EC-4753-94A2-6EB2FB6176E0}"/>
            </c:ext>
          </c:extLst>
        </c:ser>
        <c:dLbls>
          <c:showLegendKey val="0"/>
          <c:showVal val="0"/>
          <c:showCatName val="0"/>
          <c:showSerName val="0"/>
          <c:showPercent val="0"/>
          <c:showBubbleSize val="0"/>
        </c:dLbls>
        <c:axId val="1167788208"/>
        <c:axId val="1167790608"/>
      </c:scatterChart>
      <c:valAx>
        <c:axId val="1167788208"/>
        <c:scaling>
          <c:orientation val="minMax"/>
          <c:max val="9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NOx concentration (ppb)</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90608"/>
        <c:crosses val="autoZero"/>
        <c:crossBetween val="midCat"/>
      </c:valAx>
      <c:valAx>
        <c:axId val="1167790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Ozone concentration (ppb)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882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 vs ozone concentration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'Example ozone analysis'!$F$2:$F$337</c:f>
              <c:numCache>
                <c:formatCode>General</c:formatCode>
                <c:ptCount val="336"/>
                <c:pt idx="0">
                  <c:v>17.690000000000001</c:v>
                </c:pt>
                <c:pt idx="1">
                  <c:v>17.55</c:v>
                </c:pt>
                <c:pt idx="2">
                  <c:v>17.66</c:v>
                </c:pt>
                <c:pt idx="3">
                  <c:v>17.96</c:v>
                </c:pt>
                <c:pt idx="4">
                  <c:v>17.62</c:v>
                </c:pt>
                <c:pt idx="5">
                  <c:v>17.66</c:v>
                </c:pt>
                <c:pt idx="6">
                  <c:v>17.53</c:v>
                </c:pt>
                <c:pt idx="7">
                  <c:v>18.27</c:v>
                </c:pt>
                <c:pt idx="8">
                  <c:v>19.09</c:v>
                </c:pt>
                <c:pt idx="9">
                  <c:v>19.96</c:v>
                </c:pt>
                <c:pt idx="10">
                  <c:v>20.75</c:v>
                </c:pt>
                <c:pt idx="11">
                  <c:v>22.04</c:v>
                </c:pt>
                <c:pt idx="12">
                  <c:v>22.58</c:v>
                </c:pt>
                <c:pt idx="13">
                  <c:v>22.43</c:v>
                </c:pt>
                <c:pt idx="14">
                  <c:v>21.51</c:v>
                </c:pt>
                <c:pt idx="15">
                  <c:v>21.41</c:v>
                </c:pt>
                <c:pt idx="16">
                  <c:v>20.88</c:v>
                </c:pt>
                <c:pt idx="17">
                  <c:v>20.65</c:v>
                </c:pt>
                <c:pt idx="18">
                  <c:v>20.5</c:v>
                </c:pt>
                <c:pt idx="19">
                  <c:v>20.399999999999999</c:v>
                </c:pt>
                <c:pt idx="20">
                  <c:v>20.010000000000002</c:v>
                </c:pt>
                <c:pt idx="21">
                  <c:v>20</c:v>
                </c:pt>
                <c:pt idx="22">
                  <c:v>20.04</c:v>
                </c:pt>
                <c:pt idx="23">
                  <c:v>19.850000000000001</c:v>
                </c:pt>
                <c:pt idx="24">
                  <c:v>19.61</c:v>
                </c:pt>
                <c:pt idx="25">
                  <c:v>19.34</c:v>
                </c:pt>
                <c:pt idx="26">
                  <c:v>18.09</c:v>
                </c:pt>
                <c:pt idx="27">
                  <c:v>17.29</c:v>
                </c:pt>
                <c:pt idx="28">
                  <c:v>17.989999999999998</c:v>
                </c:pt>
                <c:pt idx="29">
                  <c:v>17.36</c:v>
                </c:pt>
                <c:pt idx="30">
                  <c:v>18.96</c:v>
                </c:pt>
                <c:pt idx="31">
                  <c:v>22.01</c:v>
                </c:pt>
                <c:pt idx="32">
                  <c:v>21.98</c:v>
                </c:pt>
                <c:pt idx="33">
                  <c:v>22.55</c:v>
                </c:pt>
                <c:pt idx="34">
                  <c:v>23.37</c:v>
                </c:pt>
                <c:pt idx="35">
                  <c:v>23.24</c:v>
                </c:pt>
                <c:pt idx="36">
                  <c:v>23.38</c:v>
                </c:pt>
                <c:pt idx="37">
                  <c:v>23.48</c:v>
                </c:pt>
                <c:pt idx="38">
                  <c:v>24.35</c:v>
                </c:pt>
                <c:pt idx="39">
                  <c:v>24.39</c:v>
                </c:pt>
                <c:pt idx="40">
                  <c:v>23.47</c:v>
                </c:pt>
                <c:pt idx="41">
                  <c:v>22.73</c:v>
                </c:pt>
                <c:pt idx="42">
                  <c:v>22.3</c:v>
                </c:pt>
                <c:pt idx="43">
                  <c:v>21.93</c:v>
                </c:pt>
                <c:pt idx="44">
                  <c:v>21.91</c:v>
                </c:pt>
                <c:pt idx="45">
                  <c:v>21.74</c:v>
                </c:pt>
                <c:pt idx="46">
                  <c:v>21.55</c:v>
                </c:pt>
                <c:pt idx="47">
                  <c:v>21.43</c:v>
                </c:pt>
                <c:pt idx="48">
                  <c:v>20.92</c:v>
                </c:pt>
                <c:pt idx="49">
                  <c:v>20.11</c:v>
                </c:pt>
                <c:pt idx="50">
                  <c:v>19.760000000000002</c:v>
                </c:pt>
                <c:pt idx="51">
                  <c:v>19.22</c:v>
                </c:pt>
                <c:pt idx="52">
                  <c:v>18.12</c:v>
                </c:pt>
                <c:pt idx="53">
                  <c:v>17.079999999999998</c:v>
                </c:pt>
                <c:pt idx="54">
                  <c:v>18.79</c:v>
                </c:pt>
                <c:pt idx="55">
                  <c:v>21.37</c:v>
                </c:pt>
                <c:pt idx="56">
                  <c:v>22.1</c:v>
                </c:pt>
                <c:pt idx="57">
                  <c:v>23.12</c:v>
                </c:pt>
                <c:pt idx="58">
                  <c:v>23.21</c:v>
                </c:pt>
                <c:pt idx="59">
                  <c:v>22.25</c:v>
                </c:pt>
                <c:pt idx="60">
                  <c:v>23.39</c:v>
                </c:pt>
                <c:pt idx="61">
                  <c:v>23.85</c:v>
                </c:pt>
                <c:pt idx="62">
                  <c:v>23.6</c:v>
                </c:pt>
                <c:pt idx="63">
                  <c:v>23.33</c:v>
                </c:pt>
                <c:pt idx="64">
                  <c:v>23.48</c:v>
                </c:pt>
                <c:pt idx="65">
                  <c:v>22.97</c:v>
                </c:pt>
                <c:pt idx="66">
                  <c:v>22.34</c:v>
                </c:pt>
                <c:pt idx="67">
                  <c:v>21.63</c:v>
                </c:pt>
                <c:pt idx="68">
                  <c:v>20.88</c:v>
                </c:pt>
                <c:pt idx="69">
                  <c:v>19.93</c:v>
                </c:pt>
                <c:pt idx="70">
                  <c:v>19.329999999999998</c:v>
                </c:pt>
                <c:pt idx="71">
                  <c:v>19.04</c:v>
                </c:pt>
                <c:pt idx="72">
                  <c:v>18.28</c:v>
                </c:pt>
                <c:pt idx="73">
                  <c:v>17.77</c:v>
                </c:pt>
                <c:pt idx="74">
                  <c:v>17.22</c:v>
                </c:pt>
                <c:pt idx="75">
                  <c:v>17.18</c:v>
                </c:pt>
                <c:pt idx="76">
                  <c:v>17.010000000000002</c:v>
                </c:pt>
                <c:pt idx="77">
                  <c:v>18.22</c:v>
                </c:pt>
                <c:pt idx="78">
                  <c:v>19.88</c:v>
                </c:pt>
                <c:pt idx="79">
                  <c:v>22.46</c:v>
                </c:pt>
                <c:pt idx="80">
                  <c:v>22.96</c:v>
                </c:pt>
                <c:pt idx="81">
                  <c:v>22.6</c:v>
                </c:pt>
                <c:pt idx="82">
                  <c:v>22.92</c:v>
                </c:pt>
                <c:pt idx="83">
                  <c:v>24.13</c:v>
                </c:pt>
                <c:pt idx="84">
                  <c:v>26.12</c:v>
                </c:pt>
                <c:pt idx="85">
                  <c:v>26.75</c:v>
                </c:pt>
                <c:pt idx="86">
                  <c:v>27.15</c:v>
                </c:pt>
                <c:pt idx="87">
                  <c:v>26.82</c:v>
                </c:pt>
                <c:pt idx="88">
                  <c:v>26.24</c:v>
                </c:pt>
                <c:pt idx="89">
                  <c:v>25.01</c:v>
                </c:pt>
                <c:pt idx="90">
                  <c:v>23.82</c:v>
                </c:pt>
                <c:pt idx="91">
                  <c:v>23.08</c:v>
                </c:pt>
                <c:pt idx="92">
                  <c:v>22.83</c:v>
                </c:pt>
                <c:pt idx="93">
                  <c:v>22.28</c:v>
                </c:pt>
                <c:pt idx="94">
                  <c:v>21.21</c:v>
                </c:pt>
                <c:pt idx="95">
                  <c:v>20.56</c:v>
                </c:pt>
                <c:pt idx="96">
                  <c:v>19.77</c:v>
                </c:pt>
                <c:pt idx="97">
                  <c:v>19.21</c:v>
                </c:pt>
                <c:pt idx="98">
                  <c:v>18.7</c:v>
                </c:pt>
                <c:pt idx="99">
                  <c:v>18.37</c:v>
                </c:pt>
                <c:pt idx="100">
                  <c:v>18.36</c:v>
                </c:pt>
                <c:pt idx="101">
                  <c:v>18.48</c:v>
                </c:pt>
                <c:pt idx="102">
                  <c:v>19.850000000000001</c:v>
                </c:pt>
                <c:pt idx="103">
                  <c:v>24.58</c:v>
                </c:pt>
                <c:pt idx="104">
                  <c:v>26.79</c:v>
                </c:pt>
                <c:pt idx="105">
                  <c:v>29.81</c:v>
                </c:pt>
                <c:pt idx="106">
                  <c:v>32.07</c:v>
                </c:pt>
                <c:pt idx="107">
                  <c:v>33.1</c:v>
                </c:pt>
                <c:pt idx="108">
                  <c:v>33.83</c:v>
                </c:pt>
                <c:pt idx="109">
                  <c:v>35.299999999999997</c:v>
                </c:pt>
                <c:pt idx="110">
                  <c:v>36.72</c:v>
                </c:pt>
                <c:pt idx="111">
                  <c:v>36.229999999999997</c:v>
                </c:pt>
                <c:pt idx="112">
                  <c:v>30.94</c:v>
                </c:pt>
                <c:pt idx="113">
                  <c:v>27.61</c:v>
                </c:pt>
                <c:pt idx="114">
                  <c:v>28.37</c:v>
                </c:pt>
                <c:pt idx="115">
                  <c:v>28.31</c:v>
                </c:pt>
                <c:pt idx="116">
                  <c:v>28.71</c:v>
                </c:pt>
                <c:pt idx="117">
                  <c:v>28</c:v>
                </c:pt>
                <c:pt idx="118">
                  <c:v>27.19</c:v>
                </c:pt>
                <c:pt idx="119">
                  <c:v>25.89</c:v>
                </c:pt>
                <c:pt idx="120">
                  <c:v>25.03</c:v>
                </c:pt>
                <c:pt idx="121">
                  <c:v>24</c:v>
                </c:pt>
                <c:pt idx="122">
                  <c:v>23.56</c:v>
                </c:pt>
                <c:pt idx="123">
                  <c:v>23.42</c:v>
                </c:pt>
                <c:pt idx="124">
                  <c:v>23.59</c:v>
                </c:pt>
                <c:pt idx="125">
                  <c:v>23.33</c:v>
                </c:pt>
                <c:pt idx="126">
                  <c:v>23.09</c:v>
                </c:pt>
                <c:pt idx="127">
                  <c:v>23.57</c:v>
                </c:pt>
                <c:pt idx="128">
                  <c:v>23.11</c:v>
                </c:pt>
                <c:pt idx="129">
                  <c:v>22.42</c:v>
                </c:pt>
                <c:pt idx="130">
                  <c:v>22.07</c:v>
                </c:pt>
                <c:pt idx="131">
                  <c:v>22.43</c:v>
                </c:pt>
                <c:pt idx="132">
                  <c:v>22.43</c:v>
                </c:pt>
                <c:pt idx="133">
                  <c:v>22.18</c:v>
                </c:pt>
                <c:pt idx="134">
                  <c:v>21.26</c:v>
                </c:pt>
                <c:pt idx="135">
                  <c:v>19.75</c:v>
                </c:pt>
                <c:pt idx="136">
                  <c:v>19.59</c:v>
                </c:pt>
                <c:pt idx="137">
                  <c:v>19.420000000000002</c:v>
                </c:pt>
                <c:pt idx="138">
                  <c:v>19.3</c:v>
                </c:pt>
                <c:pt idx="139">
                  <c:v>19.22</c:v>
                </c:pt>
                <c:pt idx="140">
                  <c:v>19.13</c:v>
                </c:pt>
                <c:pt idx="141">
                  <c:v>19.25</c:v>
                </c:pt>
                <c:pt idx="142">
                  <c:v>19.29</c:v>
                </c:pt>
                <c:pt idx="143">
                  <c:v>19.34</c:v>
                </c:pt>
                <c:pt idx="144">
                  <c:v>19.39</c:v>
                </c:pt>
                <c:pt idx="145">
                  <c:v>19.440000000000001</c:v>
                </c:pt>
                <c:pt idx="146">
                  <c:v>19.61</c:v>
                </c:pt>
                <c:pt idx="147">
                  <c:v>19.649999999999999</c:v>
                </c:pt>
                <c:pt idx="148">
                  <c:v>19.66</c:v>
                </c:pt>
                <c:pt idx="149">
                  <c:v>19.7</c:v>
                </c:pt>
                <c:pt idx="150">
                  <c:v>20.09</c:v>
                </c:pt>
                <c:pt idx="151">
                  <c:v>20.66</c:v>
                </c:pt>
                <c:pt idx="152">
                  <c:v>22.5</c:v>
                </c:pt>
                <c:pt idx="153">
                  <c:v>22.34</c:v>
                </c:pt>
                <c:pt idx="154">
                  <c:v>22.73</c:v>
                </c:pt>
                <c:pt idx="155">
                  <c:v>22.71</c:v>
                </c:pt>
                <c:pt idx="156">
                  <c:v>22.16</c:v>
                </c:pt>
                <c:pt idx="157">
                  <c:v>21.51</c:v>
                </c:pt>
                <c:pt idx="158">
                  <c:v>20.98</c:v>
                </c:pt>
                <c:pt idx="159">
                  <c:v>20.97</c:v>
                </c:pt>
                <c:pt idx="160">
                  <c:v>20.78</c:v>
                </c:pt>
                <c:pt idx="161">
                  <c:v>20.84</c:v>
                </c:pt>
                <c:pt idx="162">
                  <c:v>20.76</c:v>
                </c:pt>
                <c:pt idx="163">
                  <c:v>20.74</c:v>
                </c:pt>
                <c:pt idx="164">
                  <c:v>20.38</c:v>
                </c:pt>
                <c:pt idx="165">
                  <c:v>20.12</c:v>
                </c:pt>
                <c:pt idx="166">
                  <c:v>19.63</c:v>
                </c:pt>
                <c:pt idx="167">
                  <c:v>19.53</c:v>
                </c:pt>
                <c:pt idx="168">
                  <c:v>19.440000000000001</c:v>
                </c:pt>
                <c:pt idx="169">
                  <c:v>18.88</c:v>
                </c:pt>
                <c:pt idx="170">
                  <c:v>18.37</c:v>
                </c:pt>
                <c:pt idx="171">
                  <c:v>18.57</c:v>
                </c:pt>
                <c:pt idx="172">
                  <c:v>19.07</c:v>
                </c:pt>
                <c:pt idx="173">
                  <c:v>18.72</c:v>
                </c:pt>
                <c:pt idx="174">
                  <c:v>19.12</c:v>
                </c:pt>
                <c:pt idx="175">
                  <c:v>19.489999999999998</c:v>
                </c:pt>
                <c:pt idx="176">
                  <c:v>21.04</c:v>
                </c:pt>
                <c:pt idx="177">
                  <c:v>21.87</c:v>
                </c:pt>
                <c:pt idx="178">
                  <c:v>22.44</c:v>
                </c:pt>
                <c:pt idx="179">
                  <c:v>21.53</c:v>
                </c:pt>
                <c:pt idx="181">
                  <c:v>22.02</c:v>
                </c:pt>
                <c:pt idx="182">
                  <c:v>22.47</c:v>
                </c:pt>
                <c:pt idx="183">
                  <c:v>22.62</c:v>
                </c:pt>
                <c:pt idx="184">
                  <c:v>22.42</c:v>
                </c:pt>
                <c:pt idx="185">
                  <c:v>22.33</c:v>
                </c:pt>
                <c:pt idx="186">
                  <c:v>22</c:v>
                </c:pt>
                <c:pt idx="187">
                  <c:v>21.8</c:v>
                </c:pt>
                <c:pt idx="188">
                  <c:v>21.76</c:v>
                </c:pt>
                <c:pt idx="189">
                  <c:v>21.67</c:v>
                </c:pt>
                <c:pt idx="190">
                  <c:v>21.45</c:v>
                </c:pt>
                <c:pt idx="191">
                  <c:v>20.41</c:v>
                </c:pt>
                <c:pt idx="192">
                  <c:v>17.579999999999998</c:v>
                </c:pt>
                <c:pt idx="193">
                  <c:v>16.46</c:v>
                </c:pt>
                <c:pt idx="194">
                  <c:v>16.309999999999999</c:v>
                </c:pt>
                <c:pt idx="195">
                  <c:v>17.239999999999998</c:v>
                </c:pt>
                <c:pt idx="196">
                  <c:v>17.63</c:v>
                </c:pt>
                <c:pt idx="197">
                  <c:v>17.12</c:v>
                </c:pt>
                <c:pt idx="198">
                  <c:v>18.12</c:v>
                </c:pt>
                <c:pt idx="199">
                  <c:v>19.21</c:v>
                </c:pt>
                <c:pt idx="200">
                  <c:v>21.04</c:v>
                </c:pt>
                <c:pt idx="201">
                  <c:v>22.19</c:v>
                </c:pt>
                <c:pt idx="202">
                  <c:v>22.22</c:v>
                </c:pt>
                <c:pt idx="203">
                  <c:v>22.99</c:v>
                </c:pt>
                <c:pt idx="204">
                  <c:v>24.24</c:v>
                </c:pt>
                <c:pt idx="205">
                  <c:v>24.28</c:v>
                </c:pt>
                <c:pt idx="206">
                  <c:v>25.01</c:v>
                </c:pt>
                <c:pt idx="207">
                  <c:v>24.54</c:v>
                </c:pt>
                <c:pt idx="208">
                  <c:v>24.13</c:v>
                </c:pt>
                <c:pt idx="209">
                  <c:v>23.32</c:v>
                </c:pt>
                <c:pt idx="210">
                  <c:v>22.21</c:v>
                </c:pt>
                <c:pt idx="211">
                  <c:v>21.56</c:v>
                </c:pt>
                <c:pt idx="212">
                  <c:v>21.09</c:v>
                </c:pt>
                <c:pt idx="213">
                  <c:v>20.48</c:v>
                </c:pt>
                <c:pt idx="214">
                  <c:v>20.010000000000002</c:v>
                </c:pt>
                <c:pt idx="215">
                  <c:v>18.690000000000001</c:v>
                </c:pt>
                <c:pt idx="216">
                  <c:v>18.47</c:v>
                </c:pt>
                <c:pt idx="217">
                  <c:v>18.87</c:v>
                </c:pt>
                <c:pt idx="218">
                  <c:v>19</c:v>
                </c:pt>
                <c:pt idx="219">
                  <c:v>18.920000000000002</c:v>
                </c:pt>
                <c:pt idx="220">
                  <c:v>18.66</c:v>
                </c:pt>
                <c:pt idx="221">
                  <c:v>18.88</c:v>
                </c:pt>
                <c:pt idx="222">
                  <c:v>19.27</c:v>
                </c:pt>
                <c:pt idx="223">
                  <c:v>20.74</c:v>
                </c:pt>
                <c:pt idx="224">
                  <c:v>22.24</c:v>
                </c:pt>
                <c:pt idx="225">
                  <c:v>23.63</c:v>
                </c:pt>
                <c:pt idx="226">
                  <c:v>24.72</c:v>
                </c:pt>
                <c:pt idx="227">
                  <c:v>26.07</c:v>
                </c:pt>
                <c:pt idx="228">
                  <c:v>26.66</c:v>
                </c:pt>
                <c:pt idx="229">
                  <c:v>26.77</c:v>
                </c:pt>
                <c:pt idx="230">
                  <c:v>25.36</c:v>
                </c:pt>
                <c:pt idx="231">
                  <c:v>25.36</c:v>
                </c:pt>
                <c:pt idx="232">
                  <c:v>25.39</c:v>
                </c:pt>
                <c:pt idx="233">
                  <c:v>24.84</c:v>
                </c:pt>
                <c:pt idx="234">
                  <c:v>23.93</c:v>
                </c:pt>
                <c:pt idx="235">
                  <c:v>23.04</c:v>
                </c:pt>
                <c:pt idx="236">
                  <c:v>22.7</c:v>
                </c:pt>
                <c:pt idx="237">
                  <c:v>22.81</c:v>
                </c:pt>
                <c:pt idx="238">
                  <c:v>22.96</c:v>
                </c:pt>
                <c:pt idx="239">
                  <c:v>22.65</c:v>
                </c:pt>
                <c:pt idx="240">
                  <c:v>21.9</c:v>
                </c:pt>
                <c:pt idx="241">
                  <c:v>21.73</c:v>
                </c:pt>
                <c:pt idx="242">
                  <c:v>21.9</c:v>
                </c:pt>
                <c:pt idx="243">
                  <c:v>22.05</c:v>
                </c:pt>
                <c:pt idx="244">
                  <c:v>22.24</c:v>
                </c:pt>
                <c:pt idx="245">
                  <c:v>21.31</c:v>
                </c:pt>
                <c:pt idx="246">
                  <c:v>22.28</c:v>
                </c:pt>
                <c:pt idx="247">
                  <c:v>24.11</c:v>
                </c:pt>
                <c:pt idx="248">
                  <c:v>24.4</c:v>
                </c:pt>
                <c:pt idx="249">
                  <c:v>26.45</c:v>
                </c:pt>
                <c:pt idx="250">
                  <c:v>29.4</c:v>
                </c:pt>
                <c:pt idx="251">
                  <c:v>30.16</c:v>
                </c:pt>
                <c:pt idx="252">
                  <c:v>30.88</c:v>
                </c:pt>
                <c:pt idx="253">
                  <c:v>31.51</c:v>
                </c:pt>
                <c:pt idx="254">
                  <c:v>30.17</c:v>
                </c:pt>
                <c:pt idx="255">
                  <c:v>28.95</c:v>
                </c:pt>
                <c:pt idx="256">
                  <c:v>29.19</c:v>
                </c:pt>
                <c:pt idx="257">
                  <c:v>28.4</c:v>
                </c:pt>
                <c:pt idx="258">
                  <c:v>26.89</c:v>
                </c:pt>
                <c:pt idx="259">
                  <c:v>25.97</c:v>
                </c:pt>
                <c:pt idx="260">
                  <c:v>25.6</c:v>
                </c:pt>
                <c:pt idx="261">
                  <c:v>24.25</c:v>
                </c:pt>
                <c:pt idx="262">
                  <c:v>23.15</c:v>
                </c:pt>
                <c:pt idx="263">
                  <c:v>22.75</c:v>
                </c:pt>
                <c:pt idx="264">
                  <c:v>22.85</c:v>
                </c:pt>
                <c:pt idx="265">
                  <c:v>22.73</c:v>
                </c:pt>
                <c:pt idx="266">
                  <c:v>22.68</c:v>
                </c:pt>
                <c:pt idx="267">
                  <c:v>22.56</c:v>
                </c:pt>
                <c:pt idx="268">
                  <c:v>22.38</c:v>
                </c:pt>
                <c:pt idx="269">
                  <c:v>22.45</c:v>
                </c:pt>
                <c:pt idx="270">
                  <c:v>22.52</c:v>
                </c:pt>
                <c:pt idx="271">
                  <c:v>22.91</c:v>
                </c:pt>
                <c:pt idx="272">
                  <c:v>23.46</c:v>
                </c:pt>
                <c:pt idx="273">
                  <c:v>23.58</c:v>
                </c:pt>
                <c:pt idx="274">
                  <c:v>23.76</c:v>
                </c:pt>
                <c:pt idx="275">
                  <c:v>24.64</c:v>
                </c:pt>
                <c:pt idx="276">
                  <c:v>25.7</c:v>
                </c:pt>
                <c:pt idx="277">
                  <c:v>25.77</c:v>
                </c:pt>
                <c:pt idx="278">
                  <c:v>26.64</c:v>
                </c:pt>
                <c:pt idx="279">
                  <c:v>27.2</c:v>
                </c:pt>
                <c:pt idx="280">
                  <c:v>26.27</c:v>
                </c:pt>
                <c:pt idx="281">
                  <c:v>25.24</c:v>
                </c:pt>
                <c:pt idx="282">
                  <c:v>24.23</c:v>
                </c:pt>
                <c:pt idx="283">
                  <c:v>23.8</c:v>
                </c:pt>
                <c:pt idx="284">
                  <c:v>23.65</c:v>
                </c:pt>
                <c:pt idx="285">
                  <c:v>23.53</c:v>
                </c:pt>
                <c:pt idx="286">
                  <c:v>23.28</c:v>
                </c:pt>
                <c:pt idx="287">
                  <c:v>23.18</c:v>
                </c:pt>
                <c:pt idx="288">
                  <c:v>22.94</c:v>
                </c:pt>
                <c:pt idx="289">
                  <c:v>22.66</c:v>
                </c:pt>
                <c:pt idx="290">
                  <c:v>22.18</c:v>
                </c:pt>
                <c:pt idx="291">
                  <c:v>21.32</c:v>
                </c:pt>
                <c:pt idx="292">
                  <c:v>20.82</c:v>
                </c:pt>
                <c:pt idx="293">
                  <c:v>20.55</c:v>
                </c:pt>
                <c:pt idx="294">
                  <c:v>21.87</c:v>
                </c:pt>
                <c:pt idx="295">
                  <c:v>24.42</c:v>
                </c:pt>
                <c:pt idx="296">
                  <c:v>26.21</c:v>
                </c:pt>
                <c:pt idx="297">
                  <c:v>27.6</c:v>
                </c:pt>
                <c:pt idx="298">
                  <c:v>28.99</c:v>
                </c:pt>
                <c:pt idx="299">
                  <c:v>30.73</c:v>
                </c:pt>
                <c:pt idx="300">
                  <c:v>33.58</c:v>
                </c:pt>
                <c:pt idx="301">
                  <c:v>35.229999999999997</c:v>
                </c:pt>
                <c:pt idx="302">
                  <c:v>36.479999999999997</c:v>
                </c:pt>
                <c:pt idx="303">
                  <c:v>36.89</c:v>
                </c:pt>
                <c:pt idx="304">
                  <c:v>36.880000000000003</c:v>
                </c:pt>
                <c:pt idx="305">
                  <c:v>36.14</c:v>
                </c:pt>
                <c:pt idx="306">
                  <c:v>35.21</c:v>
                </c:pt>
                <c:pt idx="307">
                  <c:v>32.39</c:v>
                </c:pt>
                <c:pt idx="308">
                  <c:v>30.68</c:v>
                </c:pt>
                <c:pt idx="309">
                  <c:v>29.34</c:v>
                </c:pt>
                <c:pt idx="310">
                  <c:v>28.14</c:v>
                </c:pt>
                <c:pt idx="311">
                  <c:v>27.79</c:v>
                </c:pt>
                <c:pt idx="312">
                  <c:v>27.38</c:v>
                </c:pt>
                <c:pt idx="313">
                  <c:v>27.19</c:v>
                </c:pt>
                <c:pt idx="314">
                  <c:v>26.92</c:v>
                </c:pt>
                <c:pt idx="315">
                  <c:v>26.21</c:v>
                </c:pt>
                <c:pt idx="316">
                  <c:v>26.18</c:v>
                </c:pt>
                <c:pt idx="317">
                  <c:v>25.58</c:v>
                </c:pt>
                <c:pt idx="318">
                  <c:v>26.82</c:v>
                </c:pt>
                <c:pt idx="319">
                  <c:v>30.29</c:v>
                </c:pt>
                <c:pt idx="320">
                  <c:v>32.19</c:v>
                </c:pt>
                <c:pt idx="321">
                  <c:v>33.369999999999997</c:v>
                </c:pt>
                <c:pt idx="322">
                  <c:v>33.79</c:v>
                </c:pt>
                <c:pt idx="323">
                  <c:v>35.25</c:v>
                </c:pt>
                <c:pt idx="324">
                  <c:v>32.17</c:v>
                </c:pt>
                <c:pt idx="325">
                  <c:v>31.19</c:v>
                </c:pt>
                <c:pt idx="326">
                  <c:v>31.57</c:v>
                </c:pt>
                <c:pt idx="327">
                  <c:v>31.98</c:v>
                </c:pt>
                <c:pt idx="328">
                  <c:v>31.64</c:v>
                </c:pt>
                <c:pt idx="329">
                  <c:v>29.62</c:v>
                </c:pt>
                <c:pt idx="330">
                  <c:v>28.35</c:v>
                </c:pt>
                <c:pt idx="331">
                  <c:v>27.3</c:v>
                </c:pt>
                <c:pt idx="332">
                  <c:v>25.83</c:v>
                </c:pt>
                <c:pt idx="333">
                  <c:v>24.4</c:v>
                </c:pt>
                <c:pt idx="334">
                  <c:v>24.45</c:v>
                </c:pt>
                <c:pt idx="335">
                  <c:v>23.1</c:v>
                </c:pt>
              </c:numCache>
            </c:numRef>
          </c:xVal>
          <c:yVal>
            <c:numRef>
              <c:f>'Example ozone analysis'!$E$2:$E$337</c:f>
              <c:numCache>
                <c:formatCode>General</c:formatCode>
                <c:ptCount val="336"/>
                <c:pt idx="0">
                  <c:v>10.02</c:v>
                </c:pt>
                <c:pt idx="1">
                  <c:v>15.2</c:v>
                </c:pt>
                <c:pt idx="2">
                  <c:v>14.91</c:v>
                </c:pt>
                <c:pt idx="3">
                  <c:v>12.05</c:v>
                </c:pt>
                <c:pt idx="4">
                  <c:v>12.34</c:v>
                </c:pt>
                <c:pt idx="5">
                  <c:v>9.91</c:v>
                </c:pt>
                <c:pt idx="6">
                  <c:v>9.5299999999999994</c:v>
                </c:pt>
                <c:pt idx="7">
                  <c:v>10.56</c:v>
                </c:pt>
                <c:pt idx="8">
                  <c:v>11.14</c:v>
                </c:pt>
                <c:pt idx="9">
                  <c:v>11.69</c:v>
                </c:pt>
                <c:pt idx="10">
                  <c:v>12.48</c:v>
                </c:pt>
                <c:pt idx="11">
                  <c:v>17.510000000000002</c:v>
                </c:pt>
                <c:pt idx="12">
                  <c:v>21.62</c:v>
                </c:pt>
                <c:pt idx="13">
                  <c:v>20.07</c:v>
                </c:pt>
                <c:pt idx="14">
                  <c:v>17.510000000000002</c:v>
                </c:pt>
                <c:pt idx="15">
                  <c:v>18</c:v>
                </c:pt>
                <c:pt idx="16">
                  <c:v>14.7</c:v>
                </c:pt>
                <c:pt idx="17">
                  <c:v>12.77</c:v>
                </c:pt>
                <c:pt idx="18">
                  <c:v>13.33</c:v>
                </c:pt>
                <c:pt idx="19">
                  <c:v>13.01</c:v>
                </c:pt>
                <c:pt idx="20">
                  <c:v>14.64</c:v>
                </c:pt>
                <c:pt idx="21">
                  <c:v>16.350000000000001</c:v>
                </c:pt>
                <c:pt idx="22">
                  <c:v>15.36</c:v>
                </c:pt>
                <c:pt idx="23">
                  <c:v>14.28</c:v>
                </c:pt>
                <c:pt idx="24">
                  <c:v>10.210000000000001</c:v>
                </c:pt>
                <c:pt idx="25">
                  <c:v>11.95</c:v>
                </c:pt>
                <c:pt idx="26">
                  <c:v>10.86</c:v>
                </c:pt>
                <c:pt idx="27">
                  <c:v>6.33</c:v>
                </c:pt>
                <c:pt idx="28">
                  <c:v>0.71</c:v>
                </c:pt>
                <c:pt idx="29">
                  <c:v>0.51</c:v>
                </c:pt>
                <c:pt idx="30">
                  <c:v>1.37</c:v>
                </c:pt>
                <c:pt idx="31">
                  <c:v>6.33</c:v>
                </c:pt>
                <c:pt idx="32">
                  <c:v>12.44</c:v>
                </c:pt>
                <c:pt idx="33">
                  <c:v>13.35</c:v>
                </c:pt>
                <c:pt idx="34">
                  <c:v>17.98</c:v>
                </c:pt>
                <c:pt idx="35">
                  <c:v>18.66</c:v>
                </c:pt>
                <c:pt idx="36">
                  <c:v>21.35</c:v>
                </c:pt>
                <c:pt idx="37">
                  <c:v>21.58</c:v>
                </c:pt>
                <c:pt idx="38">
                  <c:v>24.28</c:v>
                </c:pt>
                <c:pt idx="39">
                  <c:v>25.27</c:v>
                </c:pt>
                <c:pt idx="40">
                  <c:v>23.21</c:v>
                </c:pt>
                <c:pt idx="41">
                  <c:v>21.42</c:v>
                </c:pt>
                <c:pt idx="42">
                  <c:v>19.22</c:v>
                </c:pt>
                <c:pt idx="43">
                  <c:v>18.96</c:v>
                </c:pt>
                <c:pt idx="44">
                  <c:v>17.739999999999998</c:v>
                </c:pt>
                <c:pt idx="45">
                  <c:v>14.04</c:v>
                </c:pt>
                <c:pt idx="46">
                  <c:v>13.95</c:v>
                </c:pt>
                <c:pt idx="47">
                  <c:v>11.81</c:v>
                </c:pt>
                <c:pt idx="48">
                  <c:v>14.23</c:v>
                </c:pt>
                <c:pt idx="49">
                  <c:v>15.72</c:v>
                </c:pt>
                <c:pt idx="50">
                  <c:v>14.99</c:v>
                </c:pt>
                <c:pt idx="51">
                  <c:v>12.61</c:v>
                </c:pt>
                <c:pt idx="52">
                  <c:v>8.18</c:v>
                </c:pt>
                <c:pt idx="53">
                  <c:v>1.19</c:v>
                </c:pt>
                <c:pt idx="54">
                  <c:v>2.72</c:v>
                </c:pt>
                <c:pt idx="55">
                  <c:v>8.66</c:v>
                </c:pt>
                <c:pt idx="56">
                  <c:v>10.89</c:v>
                </c:pt>
                <c:pt idx="57">
                  <c:v>15.17</c:v>
                </c:pt>
                <c:pt idx="58">
                  <c:v>16.64</c:v>
                </c:pt>
                <c:pt idx="59">
                  <c:v>17.809999999999999</c:v>
                </c:pt>
                <c:pt idx="60">
                  <c:v>17.71</c:v>
                </c:pt>
                <c:pt idx="61">
                  <c:v>23.55</c:v>
                </c:pt>
                <c:pt idx="62">
                  <c:v>20.82</c:v>
                </c:pt>
                <c:pt idx="63">
                  <c:v>16.66</c:v>
                </c:pt>
                <c:pt idx="64">
                  <c:v>15.12</c:v>
                </c:pt>
                <c:pt idx="65">
                  <c:v>13.91</c:v>
                </c:pt>
                <c:pt idx="66">
                  <c:v>12.51</c:v>
                </c:pt>
                <c:pt idx="67">
                  <c:v>11.03</c:v>
                </c:pt>
                <c:pt idx="68">
                  <c:v>7.53</c:v>
                </c:pt>
                <c:pt idx="69">
                  <c:v>2.61</c:v>
                </c:pt>
                <c:pt idx="70">
                  <c:v>0.2</c:v>
                </c:pt>
                <c:pt idx="71">
                  <c:v>0.13</c:v>
                </c:pt>
                <c:pt idx="72">
                  <c:v>0.14000000000000001</c:v>
                </c:pt>
                <c:pt idx="73">
                  <c:v>0.14000000000000001</c:v>
                </c:pt>
                <c:pt idx="74">
                  <c:v>0.15</c:v>
                </c:pt>
                <c:pt idx="75">
                  <c:v>0.19</c:v>
                </c:pt>
                <c:pt idx="76">
                  <c:v>0.18</c:v>
                </c:pt>
                <c:pt idx="77">
                  <c:v>0.23</c:v>
                </c:pt>
                <c:pt idx="78">
                  <c:v>0.68</c:v>
                </c:pt>
                <c:pt idx="79">
                  <c:v>3.31</c:v>
                </c:pt>
                <c:pt idx="80">
                  <c:v>7.68</c:v>
                </c:pt>
                <c:pt idx="81">
                  <c:v>4.78</c:v>
                </c:pt>
                <c:pt idx="82">
                  <c:v>10.06</c:v>
                </c:pt>
                <c:pt idx="83">
                  <c:v>15.27</c:v>
                </c:pt>
                <c:pt idx="84">
                  <c:v>21.07</c:v>
                </c:pt>
                <c:pt idx="85">
                  <c:v>28.16</c:v>
                </c:pt>
                <c:pt idx="86">
                  <c:v>33.19</c:v>
                </c:pt>
                <c:pt idx="87">
                  <c:v>32.11</c:v>
                </c:pt>
                <c:pt idx="88">
                  <c:v>29.91</c:v>
                </c:pt>
                <c:pt idx="89">
                  <c:v>22.11</c:v>
                </c:pt>
                <c:pt idx="90">
                  <c:v>15.7</c:v>
                </c:pt>
                <c:pt idx="91">
                  <c:v>13.55</c:v>
                </c:pt>
                <c:pt idx="92">
                  <c:v>11.11</c:v>
                </c:pt>
                <c:pt idx="93">
                  <c:v>9.26</c:v>
                </c:pt>
                <c:pt idx="94">
                  <c:v>6.75</c:v>
                </c:pt>
                <c:pt idx="95">
                  <c:v>0.56999999999999995</c:v>
                </c:pt>
                <c:pt idx="96">
                  <c:v>0.08</c:v>
                </c:pt>
                <c:pt idx="97">
                  <c:v>0.14000000000000001</c:v>
                </c:pt>
                <c:pt idx="98">
                  <c:v>0.13</c:v>
                </c:pt>
                <c:pt idx="99">
                  <c:v>0.13</c:v>
                </c:pt>
                <c:pt idx="100">
                  <c:v>0.1</c:v>
                </c:pt>
                <c:pt idx="101">
                  <c:v>0.14000000000000001</c:v>
                </c:pt>
                <c:pt idx="102">
                  <c:v>0.41</c:v>
                </c:pt>
                <c:pt idx="103">
                  <c:v>3.81</c:v>
                </c:pt>
                <c:pt idx="104">
                  <c:v>15.28</c:v>
                </c:pt>
                <c:pt idx="105">
                  <c:v>30.68</c:v>
                </c:pt>
                <c:pt idx="106">
                  <c:v>39.14</c:v>
                </c:pt>
                <c:pt idx="107">
                  <c:v>49.02</c:v>
                </c:pt>
                <c:pt idx="108">
                  <c:v>51.06</c:v>
                </c:pt>
                <c:pt idx="109">
                  <c:v>53.3</c:v>
                </c:pt>
                <c:pt idx="110">
                  <c:v>49.05</c:v>
                </c:pt>
                <c:pt idx="111">
                  <c:v>51.92</c:v>
                </c:pt>
                <c:pt idx="112">
                  <c:v>43.76</c:v>
                </c:pt>
                <c:pt idx="113">
                  <c:v>28.89</c:v>
                </c:pt>
                <c:pt idx="114">
                  <c:v>30.39</c:v>
                </c:pt>
                <c:pt idx="115">
                  <c:v>33.299999999999997</c:v>
                </c:pt>
                <c:pt idx="116">
                  <c:v>28.09</c:v>
                </c:pt>
                <c:pt idx="117">
                  <c:v>15.44</c:v>
                </c:pt>
                <c:pt idx="118">
                  <c:v>18.03</c:v>
                </c:pt>
                <c:pt idx="119">
                  <c:v>36.840000000000003</c:v>
                </c:pt>
                <c:pt idx="120">
                  <c:v>35.01</c:v>
                </c:pt>
                <c:pt idx="121">
                  <c:v>25.28</c:v>
                </c:pt>
                <c:pt idx="122">
                  <c:v>26.06</c:v>
                </c:pt>
                <c:pt idx="123">
                  <c:v>17.89</c:v>
                </c:pt>
                <c:pt idx="124">
                  <c:v>12.53</c:v>
                </c:pt>
                <c:pt idx="125">
                  <c:v>5.77</c:v>
                </c:pt>
                <c:pt idx="126">
                  <c:v>5.12</c:v>
                </c:pt>
                <c:pt idx="127">
                  <c:v>11.79</c:v>
                </c:pt>
                <c:pt idx="128">
                  <c:v>22.01</c:v>
                </c:pt>
                <c:pt idx="129">
                  <c:v>20.49</c:v>
                </c:pt>
                <c:pt idx="130">
                  <c:v>16.02</c:v>
                </c:pt>
                <c:pt idx="131">
                  <c:v>13.49</c:v>
                </c:pt>
                <c:pt idx="132">
                  <c:v>13.59</c:v>
                </c:pt>
                <c:pt idx="133">
                  <c:v>14.4</c:v>
                </c:pt>
                <c:pt idx="134">
                  <c:v>14.42</c:v>
                </c:pt>
                <c:pt idx="135">
                  <c:v>9.68</c:v>
                </c:pt>
                <c:pt idx="136">
                  <c:v>7.06</c:v>
                </c:pt>
                <c:pt idx="137">
                  <c:v>4</c:v>
                </c:pt>
                <c:pt idx="138">
                  <c:v>1.92</c:v>
                </c:pt>
                <c:pt idx="139">
                  <c:v>1.26</c:v>
                </c:pt>
                <c:pt idx="140">
                  <c:v>2.2999999999999998</c:v>
                </c:pt>
                <c:pt idx="141">
                  <c:v>1.31</c:v>
                </c:pt>
                <c:pt idx="142">
                  <c:v>1.56</c:v>
                </c:pt>
                <c:pt idx="143">
                  <c:v>0.77</c:v>
                </c:pt>
                <c:pt idx="144">
                  <c:v>0.78</c:v>
                </c:pt>
                <c:pt idx="145">
                  <c:v>1.1599999999999999</c:v>
                </c:pt>
                <c:pt idx="146">
                  <c:v>0.38</c:v>
                </c:pt>
                <c:pt idx="147">
                  <c:v>0.06</c:v>
                </c:pt>
                <c:pt idx="148">
                  <c:v>0.06</c:v>
                </c:pt>
                <c:pt idx="149">
                  <c:v>0.11</c:v>
                </c:pt>
                <c:pt idx="150">
                  <c:v>0.79</c:v>
                </c:pt>
                <c:pt idx="151">
                  <c:v>2.2400000000000002</c:v>
                </c:pt>
                <c:pt idx="152">
                  <c:v>8.9700000000000006</c:v>
                </c:pt>
                <c:pt idx="153">
                  <c:v>11.15</c:v>
                </c:pt>
                <c:pt idx="154">
                  <c:v>13.44</c:v>
                </c:pt>
                <c:pt idx="155">
                  <c:v>14.21</c:v>
                </c:pt>
                <c:pt idx="156">
                  <c:v>14.21</c:v>
                </c:pt>
                <c:pt idx="157">
                  <c:v>14.79</c:v>
                </c:pt>
                <c:pt idx="158">
                  <c:v>14.58</c:v>
                </c:pt>
                <c:pt idx="159">
                  <c:v>16.21</c:v>
                </c:pt>
                <c:pt idx="160">
                  <c:v>17.579999999999998</c:v>
                </c:pt>
                <c:pt idx="161">
                  <c:v>17</c:v>
                </c:pt>
                <c:pt idx="162">
                  <c:v>16.690000000000001</c:v>
                </c:pt>
                <c:pt idx="163">
                  <c:v>15.44</c:v>
                </c:pt>
                <c:pt idx="164">
                  <c:v>14.44</c:v>
                </c:pt>
                <c:pt idx="165">
                  <c:v>13.24</c:v>
                </c:pt>
                <c:pt idx="166">
                  <c:v>11.3</c:v>
                </c:pt>
                <c:pt idx="167">
                  <c:v>9.23</c:v>
                </c:pt>
                <c:pt idx="168">
                  <c:v>6.45</c:v>
                </c:pt>
                <c:pt idx="169">
                  <c:v>5.67</c:v>
                </c:pt>
                <c:pt idx="170">
                  <c:v>3.39</c:v>
                </c:pt>
                <c:pt idx="171">
                  <c:v>2.1</c:v>
                </c:pt>
                <c:pt idx="172">
                  <c:v>3.65</c:v>
                </c:pt>
                <c:pt idx="173">
                  <c:v>1.91</c:v>
                </c:pt>
                <c:pt idx="174">
                  <c:v>0.84</c:v>
                </c:pt>
                <c:pt idx="175">
                  <c:v>2.0099999999999998</c:v>
                </c:pt>
                <c:pt idx="176">
                  <c:v>6.53</c:v>
                </c:pt>
                <c:pt idx="177">
                  <c:v>12.88</c:v>
                </c:pt>
                <c:pt idx="178">
                  <c:v>14.65</c:v>
                </c:pt>
                <c:pt idx="179">
                  <c:v>12.68</c:v>
                </c:pt>
                <c:pt idx="181">
                  <c:v>9.9</c:v>
                </c:pt>
                <c:pt idx="182">
                  <c:v>11.43</c:v>
                </c:pt>
                <c:pt idx="183">
                  <c:v>12.86</c:v>
                </c:pt>
                <c:pt idx="184">
                  <c:v>11.1</c:v>
                </c:pt>
                <c:pt idx="185">
                  <c:v>11.01</c:v>
                </c:pt>
                <c:pt idx="186">
                  <c:v>10.49</c:v>
                </c:pt>
                <c:pt idx="187">
                  <c:v>10.45</c:v>
                </c:pt>
                <c:pt idx="188">
                  <c:v>9.2100000000000009</c:v>
                </c:pt>
                <c:pt idx="189">
                  <c:v>7.65</c:v>
                </c:pt>
                <c:pt idx="190">
                  <c:v>7.57</c:v>
                </c:pt>
                <c:pt idx="191">
                  <c:v>9.08</c:v>
                </c:pt>
                <c:pt idx="192">
                  <c:v>4.3499999999999996</c:v>
                </c:pt>
                <c:pt idx="193">
                  <c:v>0.57999999999999996</c:v>
                </c:pt>
                <c:pt idx="194">
                  <c:v>0.2</c:v>
                </c:pt>
                <c:pt idx="195">
                  <c:v>0.21</c:v>
                </c:pt>
                <c:pt idx="196">
                  <c:v>0.19</c:v>
                </c:pt>
                <c:pt idx="197">
                  <c:v>0.19</c:v>
                </c:pt>
                <c:pt idx="198">
                  <c:v>0.6</c:v>
                </c:pt>
                <c:pt idx="199">
                  <c:v>1.36</c:v>
                </c:pt>
                <c:pt idx="200">
                  <c:v>3.49</c:v>
                </c:pt>
                <c:pt idx="201">
                  <c:v>7.58</c:v>
                </c:pt>
                <c:pt idx="202">
                  <c:v>8.93</c:v>
                </c:pt>
                <c:pt idx="203">
                  <c:v>12.13</c:v>
                </c:pt>
                <c:pt idx="204">
                  <c:v>15.59</c:v>
                </c:pt>
                <c:pt idx="205">
                  <c:v>16.23</c:v>
                </c:pt>
                <c:pt idx="206">
                  <c:v>17.88</c:v>
                </c:pt>
                <c:pt idx="207">
                  <c:v>16.5</c:v>
                </c:pt>
                <c:pt idx="208">
                  <c:v>14.72</c:v>
                </c:pt>
                <c:pt idx="209">
                  <c:v>11.75</c:v>
                </c:pt>
                <c:pt idx="210">
                  <c:v>9.0299999999999994</c:v>
                </c:pt>
                <c:pt idx="211">
                  <c:v>5.79</c:v>
                </c:pt>
                <c:pt idx="212">
                  <c:v>2.4</c:v>
                </c:pt>
                <c:pt idx="213">
                  <c:v>0.59</c:v>
                </c:pt>
                <c:pt idx="214">
                  <c:v>0.27</c:v>
                </c:pt>
                <c:pt idx="215">
                  <c:v>0.15</c:v>
                </c:pt>
                <c:pt idx="216">
                  <c:v>0.27</c:v>
                </c:pt>
                <c:pt idx="217">
                  <c:v>1.43</c:v>
                </c:pt>
                <c:pt idx="218">
                  <c:v>2.44</c:v>
                </c:pt>
                <c:pt idx="219">
                  <c:v>0.63</c:v>
                </c:pt>
                <c:pt idx="220">
                  <c:v>0.14000000000000001</c:v>
                </c:pt>
                <c:pt idx="221">
                  <c:v>0.21</c:v>
                </c:pt>
                <c:pt idx="222">
                  <c:v>0.31</c:v>
                </c:pt>
                <c:pt idx="223">
                  <c:v>0.77</c:v>
                </c:pt>
                <c:pt idx="224">
                  <c:v>3.94</c:v>
                </c:pt>
                <c:pt idx="225">
                  <c:v>7.01</c:v>
                </c:pt>
                <c:pt idx="226">
                  <c:v>11.88</c:v>
                </c:pt>
                <c:pt idx="227">
                  <c:v>17.66</c:v>
                </c:pt>
                <c:pt idx="228">
                  <c:v>22.35</c:v>
                </c:pt>
                <c:pt idx="229">
                  <c:v>31.01</c:v>
                </c:pt>
                <c:pt idx="230">
                  <c:v>25.84</c:v>
                </c:pt>
                <c:pt idx="231">
                  <c:v>21</c:v>
                </c:pt>
                <c:pt idx="232">
                  <c:v>24</c:v>
                </c:pt>
                <c:pt idx="233">
                  <c:v>18.350000000000001</c:v>
                </c:pt>
                <c:pt idx="234">
                  <c:v>9.16</c:v>
                </c:pt>
                <c:pt idx="235">
                  <c:v>8.56</c:v>
                </c:pt>
                <c:pt idx="236">
                  <c:v>7.78</c:v>
                </c:pt>
                <c:pt idx="237">
                  <c:v>9.3699999999999992</c:v>
                </c:pt>
                <c:pt idx="238">
                  <c:v>9.42</c:v>
                </c:pt>
                <c:pt idx="239">
                  <c:v>6.59</c:v>
                </c:pt>
                <c:pt idx="240">
                  <c:v>3.33</c:v>
                </c:pt>
                <c:pt idx="241">
                  <c:v>0.7</c:v>
                </c:pt>
                <c:pt idx="242">
                  <c:v>0.17</c:v>
                </c:pt>
                <c:pt idx="243">
                  <c:v>0.24</c:v>
                </c:pt>
                <c:pt idx="244">
                  <c:v>0.13</c:v>
                </c:pt>
                <c:pt idx="245">
                  <c:v>0.09</c:v>
                </c:pt>
                <c:pt idx="246">
                  <c:v>0.47</c:v>
                </c:pt>
                <c:pt idx="247">
                  <c:v>2.5499999999999998</c:v>
                </c:pt>
                <c:pt idx="248">
                  <c:v>5.25</c:v>
                </c:pt>
                <c:pt idx="249">
                  <c:v>11.66</c:v>
                </c:pt>
                <c:pt idx="250">
                  <c:v>26.89</c:v>
                </c:pt>
                <c:pt idx="251">
                  <c:v>37.25</c:v>
                </c:pt>
                <c:pt idx="252">
                  <c:v>41.83</c:v>
                </c:pt>
                <c:pt idx="253">
                  <c:v>40.840000000000003</c:v>
                </c:pt>
                <c:pt idx="254">
                  <c:v>41.76</c:v>
                </c:pt>
                <c:pt idx="255">
                  <c:v>36.42</c:v>
                </c:pt>
                <c:pt idx="256">
                  <c:v>37.659999999999997</c:v>
                </c:pt>
                <c:pt idx="257">
                  <c:v>31.18</c:v>
                </c:pt>
                <c:pt idx="258">
                  <c:v>32.79</c:v>
                </c:pt>
                <c:pt idx="259">
                  <c:v>29.86</c:v>
                </c:pt>
                <c:pt idx="260">
                  <c:v>23.81</c:v>
                </c:pt>
                <c:pt idx="261">
                  <c:v>11.44</c:v>
                </c:pt>
                <c:pt idx="262">
                  <c:v>3.78</c:v>
                </c:pt>
                <c:pt idx="263">
                  <c:v>0.39</c:v>
                </c:pt>
                <c:pt idx="264">
                  <c:v>0</c:v>
                </c:pt>
                <c:pt idx="265">
                  <c:v>2.5499999999999998</c:v>
                </c:pt>
                <c:pt idx="266">
                  <c:v>17.48</c:v>
                </c:pt>
                <c:pt idx="267">
                  <c:v>18.489999999999998</c:v>
                </c:pt>
                <c:pt idx="268">
                  <c:v>14.39</c:v>
                </c:pt>
                <c:pt idx="269">
                  <c:v>9.91</c:v>
                </c:pt>
                <c:pt idx="270">
                  <c:v>8.1300000000000008</c:v>
                </c:pt>
                <c:pt idx="271">
                  <c:v>7.63</c:v>
                </c:pt>
                <c:pt idx="272">
                  <c:v>10.93</c:v>
                </c:pt>
                <c:pt idx="273">
                  <c:v>15.63</c:v>
                </c:pt>
                <c:pt idx="274">
                  <c:v>16.010000000000002</c:v>
                </c:pt>
                <c:pt idx="275">
                  <c:v>18.18</c:v>
                </c:pt>
                <c:pt idx="276">
                  <c:v>22.54</c:v>
                </c:pt>
                <c:pt idx="277">
                  <c:v>27.22</c:v>
                </c:pt>
                <c:pt idx="278">
                  <c:v>32.299999999999997</c:v>
                </c:pt>
                <c:pt idx="279">
                  <c:v>32.770000000000003</c:v>
                </c:pt>
                <c:pt idx="280">
                  <c:v>27.84</c:v>
                </c:pt>
                <c:pt idx="281">
                  <c:v>21.28</c:v>
                </c:pt>
                <c:pt idx="282">
                  <c:v>17.100000000000001</c:v>
                </c:pt>
                <c:pt idx="283">
                  <c:v>15.31</c:v>
                </c:pt>
                <c:pt idx="284">
                  <c:v>13.72</c:v>
                </c:pt>
                <c:pt idx="285">
                  <c:v>18.579999999999998</c:v>
                </c:pt>
                <c:pt idx="286">
                  <c:v>15.54</c:v>
                </c:pt>
                <c:pt idx="287">
                  <c:v>14.14</c:v>
                </c:pt>
                <c:pt idx="288">
                  <c:v>13.95</c:v>
                </c:pt>
                <c:pt idx="289">
                  <c:v>10.08</c:v>
                </c:pt>
                <c:pt idx="290">
                  <c:v>3.69</c:v>
                </c:pt>
                <c:pt idx="291">
                  <c:v>0.42</c:v>
                </c:pt>
                <c:pt idx="292">
                  <c:v>0.12</c:v>
                </c:pt>
                <c:pt idx="293">
                  <c:v>0.14000000000000001</c:v>
                </c:pt>
                <c:pt idx="294">
                  <c:v>0.7</c:v>
                </c:pt>
                <c:pt idx="295">
                  <c:v>5.68</c:v>
                </c:pt>
                <c:pt idx="296">
                  <c:v>13.11</c:v>
                </c:pt>
                <c:pt idx="297">
                  <c:v>20.09</c:v>
                </c:pt>
                <c:pt idx="298">
                  <c:v>24.97</c:v>
                </c:pt>
                <c:pt idx="299">
                  <c:v>25.68</c:v>
                </c:pt>
                <c:pt idx="300">
                  <c:v>26.87</c:v>
                </c:pt>
                <c:pt idx="301">
                  <c:v>28.48</c:v>
                </c:pt>
                <c:pt idx="302">
                  <c:v>34.9</c:v>
                </c:pt>
                <c:pt idx="303">
                  <c:v>34.43</c:v>
                </c:pt>
                <c:pt idx="304">
                  <c:v>35.590000000000003</c:v>
                </c:pt>
                <c:pt idx="305">
                  <c:v>33.83</c:v>
                </c:pt>
                <c:pt idx="306">
                  <c:v>28.09</c:v>
                </c:pt>
                <c:pt idx="307">
                  <c:v>18.09</c:v>
                </c:pt>
                <c:pt idx="308">
                  <c:v>6.39</c:v>
                </c:pt>
                <c:pt idx="309">
                  <c:v>11.47</c:v>
                </c:pt>
                <c:pt idx="310">
                  <c:v>4.3899999999999997</c:v>
                </c:pt>
                <c:pt idx="311">
                  <c:v>0.71</c:v>
                </c:pt>
                <c:pt idx="312">
                  <c:v>1.1100000000000001</c:v>
                </c:pt>
                <c:pt idx="313">
                  <c:v>0.89</c:v>
                </c:pt>
                <c:pt idx="314">
                  <c:v>2.83</c:v>
                </c:pt>
                <c:pt idx="315">
                  <c:v>1.0900000000000001</c:v>
                </c:pt>
                <c:pt idx="316">
                  <c:v>2.87</c:v>
                </c:pt>
                <c:pt idx="317">
                  <c:v>3.47</c:v>
                </c:pt>
                <c:pt idx="318">
                  <c:v>3.68</c:v>
                </c:pt>
                <c:pt idx="319">
                  <c:v>18.61</c:v>
                </c:pt>
                <c:pt idx="320">
                  <c:v>26.58</c:v>
                </c:pt>
                <c:pt idx="321">
                  <c:v>31.46</c:v>
                </c:pt>
                <c:pt idx="322">
                  <c:v>29.84</c:v>
                </c:pt>
                <c:pt idx="323">
                  <c:v>32.380000000000003</c:v>
                </c:pt>
                <c:pt idx="324">
                  <c:v>44.13</c:v>
                </c:pt>
                <c:pt idx="325">
                  <c:v>49.17</c:v>
                </c:pt>
                <c:pt idx="326">
                  <c:v>53.98</c:v>
                </c:pt>
                <c:pt idx="327">
                  <c:v>60.16</c:v>
                </c:pt>
                <c:pt idx="328">
                  <c:v>60.71</c:v>
                </c:pt>
                <c:pt idx="329">
                  <c:v>45.4</c:v>
                </c:pt>
                <c:pt idx="330">
                  <c:v>38.5</c:v>
                </c:pt>
                <c:pt idx="331">
                  <c:v>29.92</c:v>
                </c:pt>
                <c:pt idx="332">
                  <c:v>20.07</c:v>
                </c:pt>
                <c:pt idx="333">
                  <c:v>8.41</c:v>
                </c:pt>
                <c:pt idx="334">
                  <c:v>13.92</c:v>
                </c:pt>
                <c:pt idx="335">
                  <c:v>12.79</c:v>
                </c:pt>
              </c:numCache>
            </c:numRef>
          </c:yVal>
          <c:smooth val="0"/>
          <c:extLst>
            <c:ext xmlns:c16="http://schemas.microsoft.com/office/drawing/2014/chart" uri="{C3380CC4-5D6E-409C-BE32-E72D297353CC}">
              <c16:uniqueId val="{00000000-6B9C-417F-BA0D-805B28976F51}"/>
            </c:ext>
          </c:extLst>
        </c:ser>
        <c:dLbls>
          <c:showLegendKey val="0"/>
          <c:showVal val="0"/>
          <c:showCatName val="0"/>
          <c:showSerName val="0"/>
          <c:showPercent val="0"/>
          <c:showBubbleSize val="0"/>
        </c:dLbls>
        <c:axId val="49203152"/>
        <c:axId val="1147633184"/>
      </c:scatterChart>
      <c:valAx>
        <c:axId val="49203152"/>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 (oC)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633184"/>
        <c:crosses val="autoZero"/>
        <c:crossBetween val="midCat"/>
      </c:valAx>
      <c:valAx>
        <c:axId val="114763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Ozone concentration (ppb)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03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Wind speed vs ozone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spPr>
            <a:ln w="38100" cap="rnd">
              <a:noFill/>
              <a:round/>
            </a:ln>
            <a:effectLst/>
          </c:spPr>
          <c:marker>
            <c:symbol val="circle"/>
            <c:size val="5"/>
            <c:spPr>
              <a:solidFill>
                <a:schemeClr val="accent2"/>
              </a:solidFill>
              <a:ln w="9525">
                <a:solidFill>
                  <a:schemeClr val="accent2"/>
                </a:solidFill>
              </a:ln>
              <a:effectLst/>
            </c:spPr>
          </c:marker>
          <c:xVal>
            <c:numRef>
              <c:f>'Example ozone analysis'!$G$2:$G$337</c:f>
              <c:numCache>
                <c:formatCode>General</c:formatCode>
                <c:ptCount val="336"/>
                <c:pt idx="0">
                  <c:v>0.64</c:v>
                </c:pt>
                <c:pt idx="1">
                  <c:v>1.53</c:v>
                </c:pt>
                <c:pt idx="2">
                  <c:v>1.26</c:v>
                </c:pt>
                <c:pt idx="3">
                  <c:v>1.0900000000000001</c:v>
                </c:pt>
                <c:pt idx="4">
                  <c:v>1.1000000000000001</c:v>
                </c:pt>
                <c:pt idx="5">
                  <c:v>1.46</c:v>
                </c:pt>
                <c:pt idx="6">
                  <c:v>1.59</c:v>
                </c:pt>
                <c:pt idx="7">
                  <c:v>1.21</c:v>
                </c:pt>
                <c:pt idx="8">
                  <c:v>1.27</c:v>
                </c:pt>
                <c:pt idx="9">
                  <c:v>0.61</c:v>
                </c:pt>
                <c:pt idx="10">
                  <c:v>0.49</c:v>
                </c:pt>
                <c:pt idx="11">
                  <c:v>0.72</c:v>
                </c:pt>
                <c:pt idx="12">
                  <c:v>0.94</c:v>
                </c:pt>
                <c:pt idx="13">
                  <c:v>1.69</c:v>
                </c:pt>
                <c:pt idx="14">
                  <c:v>2.52</c:v>
                </c:pt>
                <c:pt idx="15">
                  <c:v>2.54</c:v>
                </c:pt>
                <c:pt idx="16">
                  <c:v>2.7</c:v>
                </c:pt>
                <c:pt idx="17">
                  <c:v>2.29</c:v>
                </c:pt>
                <c:pt idx="18">
                  <c:v>1.48</c:v>
                </c:pt>
                <c:pt idx="19">
                  <c:v>1.28</c:v>
                </c:pt>
                <c:pt idx="20">
                  <c:v>1.45</c:v>
                </c:pt>
                <c:pt idx="21">
                  <c:v>0.84</c:v>
                </c:pt>
                <c:pt idx="22">
                  <c:v>0.15</c:v>
                </c:pt>
                <c:pt idx="23">
                  <c:v>0.23</c:v>
                </c:pt>
                <c:pt idx="24">
                  <c:v>0.71</c:v>
                </c:pt>
                <c:pt idx="25">
                  <c:v>0.54</c:v>
                </c:pt>
                <c:pt idx="26">
                  <c:v>0.2</c:v>
                </c:pt>
                <c:pt idx="27">
                  <c:v>0.31</c:v>
                </c:pt>
                <c:pt idx="28">
                  <c:v>0.3</c:v>
                </c:pt>
                <c:pt idx="29">
                  <c:v>0.12</c:v>
                </c:pt>
                <c:pt idx="30">
                  <c:v>0.22</c:v>
                </c:pt>
                <c:pt idx="31">
                  <c:v>1</c:v>
                </c:pt>
                <c:pt idx="32">
                  <c:v>1.1399999999999999</c:v>
                </c:pt>
                <c:pt idx="33">
                  <c:v>1.05</c:v>
                </c:pt>
                <c:pt idx="34">
                  <c:v>1.35</c:v>
                </c:pt>
                <c:pt idx="35">
                  <c:v>2.4900000000000002</c:v>
                </c:pt>
                <c:pt idx="36">
                  <c:v>3.37</c:v>
                </c:pt>
                <c:pt idx="37">
                  <c:v>3.27</c:v>
                </c:pt>
                <c:pt idx="38">
                  <c:v>3.16</c:v>
                </c:pt>
                <c:pt idx="39">
                  <c:v>2.73</c:v>
                </c:pt>
                <c:pt idx="40">
                  <c:v>3.1</c:v>
                </c:pt>
                <c:pt idx="41">
                  <c:v>3</c:v>
                </c:pt>
                <c:pt idx="42">
                  <c:v>2.1</c:v>
                </c:pt>
                <c:pt idx="43">
                  <c:v>1.81</c:v>
                </c:pt>
                <c:pt idx="44">
                  <c:v>1.44</c:v>
                </c:pt>
                <c:pt idx="45">
                  <c:v>1.61</c:v>
                </c:pt>
                <c:pt idx="46">
                  <c:v>1.77</c:v>
                </c:pt>
                <c:pt idx="47">
                  <c:v>1.22</c:v>
                </c:pt>
                <c:pt idx="48">
                  <c:v>1.43</c:v>
                </c:pt>
                <c:pt idx="49">
                  <c:v>1.36</c:v>
                </c:pt>
                <c:pt idx="50">
                  <c:v>0.99</c:v>
                </c:pt>
                <c:pt idx="51">
                  <c:v>0.93</c:v>
                </c:pt>
                <c:pt idx="52">
                  <c:v>0.66</c:v>
                </c:pt>
                <c:pt idx="53">
                  <c:v>0.18</c:v>
                </c:pt>
                <c:pt idx="54">
                  <c:v>0.67</c:v>
                </c:pt>
                <c:pt idx="55">
                  <c:v>1.1000000000000001</c:v>
                </c:pt>
                <c:pt idx="56">
                  <c:v>1.6</c:v>
                </c:pt>
                <c:pt idx="57">
                  <c:v>1.41</c:v>
                </c:pt>
                <c:pt idx="58">
                  <c:v>1.55</c:v>
                </c:pt>
                <c:pt idx="59">
                  <c:v>1.64</c:v>
                </c:pt>
                <c:pt idx="60">
                  <c:v>0.27</c:v>
                </c:pt>
                <c:pt idx="61">
                  <c:v>1.99</c:v>
                </c:pt>
                <c:pt idx="62">
                  <c:v>2.83</c:v>
                </c:pt>
                <c:pt idx="63">
                  <c:v>2.91</c:v>
                </c:pt>
                <c:pt idx="64">
                  <c:v>3</c:v>
                </c:pt>
                <c:pt idx="65">
                  <c:v>2.79</c:v>
                </c:pt>
                <c:pt idx="66">
                  <c:v>2.4900000000000002</c:v>
                </c:pt>
                <c:pt idx="67">
                  <c:v>1.29</c:v>
                </c:pt>
                <c:pt idx="68">
                  <c:v>0.55000000000000004</c:v>
                </c:pt>
                <c:pt idx="69">
                  <c:v>0.14000000000000001</c:v>
                </c:pt>
                <c:pt idx="70">
                  <c:v>0.3</c:v>
                </c:pt>
                <c:pt idx="71">
                  <c:v>0.37</c:v>
                </c:pt>
                <c:pt idx="72">
                  <c:v>0.5</c:v>
                </c:pt>
                <c:pt idx="73">
                  <c:v>0.57999999999999996</c:v>
                </c:pt>
                <c:pt idx="74">
                  <c:v>0.22</c:v>
                </c:pt>
                <c:pt idx="75">
                  <c:v>0.12</c:v>
                </c:pt>
                <c:pt idx="76">
                  <c:v>0.28000000000000003</c:v>
                </c:pt>
                <c:pt idx="77">
                  <c:v>0.13</c:v>
                </c:pt>
                <c:pt idx="78">
                  <c:v>0.41</c:v>
                </c:pt>
                <c:pt idx="79">
                  <c:v>0.26</c:v>
                </c:pt>
                <c:pt idx="80">
                  <c:v>0.6</c:v>
                </c:pt>
                <c:pt idx="81">
                  <c:v>0.57999999999999996</c:v>
                </c:pt>
                <c:pt idx="82">
                  <c:v>0.27</c:v>
                </c:pt>
                <c:pt idx="83">
                  <c:v>0.78</c:v>
                </c:pt>
                <c:pt idx="84">
                  <c:v>0.53</c:v>
                </c:pt>
                <c:pt idx="85">
                  <c:v>1.96</c:v>
                </c:pt>
                <c:pt idx="86">
                  <c:v>2.69</c:v>
                </c:pt>
                <c:pt idx="87">
                  <c:v>2.87</c:v>
                </c:pt>
                <c:pt idx="88">
                  <c:v>2.96</c:v>
                </c:pt>
                <c:pt idx="89">
                  <c:v>2.78</c:v>
                </c:pt>
                <c:pt idx="90">
                  <c:v>2.0099999999999998</c:v>
                </c:pt>
                <c:pt idx="91">
                  <c:v>0.73</c:v>
                </c:pt>
                <c:pt idx="92">
                  <c:v>0.27</c:v>
                </c:pt>
                <c:pt idx="93">
                  <c:v>0.31</c:v>
                </c:pt>
                <c:pt idx="94">
                  <c:v>0.21</c:v>
                </c:pt>
                <c:pt idx="95">
                  <c:v>0.28000000000000003</c:v>
                </c:pt>
                <c:pt idx="96">
                  <c:v>0.2</c:v>
                </c:pt>
                <c:pt idx="97">
                  <c:v>0.18</c:v>
                </c:pt>
                <c:pt idx="98">
                  <c:v>0.2</c:v>
                </c:pt>
                <c:pt idx="99">
                  <c:v>0.12</c:v>
                </c:pt>
                <c:pt idx="100">
                  <c:v>0.24</c:v>
                </c:pt>
                <c:pt idx="101">
                  <c:v>0.11</c:v>
                </c:pt>
                <c:pt idx="102">
                  <c:v>7.0000000000000007E-2</c:v>
                </c:pt>
                <c:pt idx="103">
                  <c:v>0.71</c:v>
                </c:pt>
                <c:pt idx="104">
                  <c:v>1.99</c:v>
                </c:pt>
                <c:pt idx="105">
                  <c:v>2.4500000000000002</c:v>
                </c:pt>
                <c:pt idx="106">
                  <c:v>1.59</c:v>
                </c:pt>
                <c:pt idx="107">
                  <c:v>1.29</c:v>
                </c:pt>
                <c:pt idx="108">
                  <c:v>1.35</c:v>
                </c:pt>
                <c:pt idx="109">
                  <c:v>1.41</c:v>
                </c:pt>
                <c:pt idx="110">
                  <c:v>1.25</c:v>
                </c:pt>
                <c:pt idx="111">
                  <c:v>1.29</c:v>
                </c:pt>
                <c:pt idx="112">
                  <c:v>2.4500000000000002</c:v>
                </c:pt>
                <c:pt idx="113">
                  <c:v>2.31</c:v>
                </c:pt>
                <c:pt idx="114">
                  <c:v>1.71</c:v>
                </c:pt>
                <c:pt idx="115">
                  <c:v>0.41</c:v>
                </c:pt>
                <c:pt idx="116">
                  <c:v>0.47</c:v>
                </c:pt>
                <c:pt idx="117">
                  <c:v>0.34</c:v>
                </c:pt>
                <c:pt idx="118">
                  <c:v>1.95</c:v>
                </c:pt>
                <c:pt idx="119">
                  <c:v>1.08</c:v>
                </c:pt>
                <c:pt idx="120">
                  <c:v>0.7</c:v>
                </c:pt>
                <c:pt idx="121">
                  <c:v>1.22</c:v>
                </c:pt>
                <c:pt idx="122">
                  <c:v>0.28000000000000003</c:v>
                </c:pt>
                <c:pt idx="123">
                  <c:v>0.26</c:v>
                </c:pt>
                <c:pt idx="124">
                  <c:v>0.68</c:v>
                </c:pt>
                <c:pt idx="125">
                  <c:v>0.64</c:v>
                </c:pt>
                <c:pt idx="126">
                  <c:v>0.34</c:v>
                </c:pt>
                <c:pt idx="127">
                  <c:v>1.63</c:v>
                </c:pt>
                <c:pt idx="128">
                  <c:v>2.5099999999999998</c:v>
                </c:pt>
                <c:pt idx="129">
                  <c:v>2.5099999999999998</c:v>
                </c:pt>
                <c:pt idx="130">
                  <c:v>2.48</c:v>
                </c:pt>
                <c:pt idx="131">
                  <c:v>2.0299999999999998</c:v>
                </c:pt>
                <c:pt idx="132">
                  <c:v>2.12</c:v>
                </c:pt>
                <c:pt idx="133">
                  <c:v>2.12</c:v>
                </c:pt>
                <c:pt idx="134">
                  <c:v>1.64</c:v>
                </c:pt>
                <c:pt idx="135">
                  <c:v>0.76</c:v>
                </c:pt>
                <c:pt idx="136">
                  <c:v>0.64</c:v>
                </c:pt>
                <c:pt idx="137">
                  <c:v>0.51</c:v>
                </c:pt>
                <c:pt idx="138">
                  <c:v>0.32</c:v>
                </c:pt>
                <c:pt idx="139">
                  <c:v>0.56000000000000005</c:v>
                </c:pt>
                <c:pt idx="140">
                  <c:v>0.65</c:v>
                </c:pt>
                <c:pt idx="141">
                  <c:v>0.78</c:v>
                </c:pt>
                <c:pt idx="142">
                  <c:v>0.5</c:v>
                </c:pt>
                <c:pt idx="143">
                  <c:v>0.63</c:v>
                </c:pt>
                <c:pt idx="144">
                  <c:v>0.56999999999999995</c:v>
                </c:pt>
                <c:pt idx="145">
                  <c:v>0.37</c:v>
                </c:pt>
                <c:pt idx="146">
                  <c:v>0.09</c:v>
                </c:pt>
                <c:pt idx="147">
                  <c:v>0.37</c:v>
                </c:pt>
                <c:pt idx="148">
                  <c:v>0.27</c:v>
                </c:pt>
                <c:pt idx="149">
                  <c:v>0.39</c:v>
                </c:pt>
                <c:pt idx="150">
                  <c:v>0.54</c:v>
                </c:pt>
                <c:pt idx="151">
                  <c:v>0.19</c:v>
                </c:pt>
                <c:pt idx="152">
                  <c:v>1.23</c:v>
                </c:pt>
                <c:pt idx="153">
                  <c:v>1.1599999999999999</c:v>
                </c:pt>
                <c:pt idx="154">
                  <c:v>1.92</c:v>
                </c:pt>
                <c:pt idx="155">
                  <c:v>1.89</c:v>
                </c:pt>
                <c:pt idx="156">
                  <c:v>2.1</c:v>
                </c:pt>
                <c:pt idx="157">
                  <c:v>2.04</c:v>
                </c:pt>
                <c:pt idx="158">
                  <c:v>2.1800000000000002</c:v>
                </c:pt>
                <c:pt idx="159">
                  <c:v>2.67</c:v>
                </c:pt>
                <c:pt idx="160">
                  <c:v>2.85</c:v>
                </c:pt>
                <c:pt idx="161">
                  <c:v>2.34</c:v>
                </c:pt>
                <c:pt idx="162">
                  <c:v>1.78</c:v>
                </c:pt>
                <c:pt idx="163">
                  <c:v>2.5</c:v>
                </c:pt>
                <c:pt idx="164">
                  <c:v>1.65</c:v>
                </c:pt>
                <c:pt idx="165">
                  <c:v>1.72</c:v>
                </c:pt>
                <c:pt idx="166">
                  <c:v>1.47</c:v>
                </c:pt>
                <c:pt idx="167">
                  <c:v>1.24</c:v>
                </c:pt>
                <c:pt idx="168">
                  <c:v>1.08</c:v>
                </c:pt>
                <c:pt idx="169">
                  <c:v>0.79</c:v>
                </c:pt>
                <c:pt idx="170">
                  <c:v>0.5</c:v>
                </c:pt>
                <c:pt idx="171">
                  <c:v>0.56999999999999995</c:v>
                </c:pt>
                <c:pt idx="172">
                  <c:v>0.99</c:v>
                </c:pt>
                <c:pt idx="173">
                  <c:v>0.7</c:v>
                </c:pt>
                <c:pt idx="174">
                  <c:v>0.64</c:v>
                </c:pt>
                <c:pt idx="175">
                  <c:v>0.71</c:v>
                </c:pt>
                <c:pt idx="176">
                  <c:v>1.57</c:v>
                </c:pt>
                <c:pt idx="177">
                  <c:v>2.33</c:v>
                </c:pt>
                <c:pt idx="178">
                  <c:v>2.58</c:v>
                </c:pt>
                <c:pt idx="179">
                  <c:v>1.93</c:v>
                </c:pt>
                <c:pt idx="181">
                  <c:v>2.4700000000000002</c:v>
                </c:pt>
                <c:pt idx="182">
                  <c:v>2.4</c:v>
                </c:pt>
                <c:pt idx="183">
                  <c:v>3.01</c:v>
                </c:pt>
                <c:pt idx="184">
                  <c:v>2.97</c:v>
                </c:pt>
                <c:pt idx="185">
                  <c:v>2.63</c:v>
                </c:pt>
                <c:pt idx="186">
                  <c:v>2.8</c:v>
                </c:pt>
                <c:pt idx="187">
                  <c:v>2.58</c:v>
                </c:pt>
                <c:pt idx="188">
                  <c:v>1.85</c:v>
                </c:pt>
                <c:pt idx="189">
                  <c:v>1.53</c:v>
                </c:pt>
                <c:pt idx="190">
                  <c:v>1.48</c:v>
                </c:pt>
                <c:pt idx="191">
                  <c:v>0.84</c:v>
                </c:pt>
                <c:pt idx="192">
                  <c:v>0.28999999999999998</c:v>
                </c:pt>
                <c:pt idx="193">
                  <c:v>0.41</c:v>
                </c:pt>
                <c:pt idx="194">
                  <c:v>0.37</c:v>
                </c:pt>
                <c:pt idx="195">
                  <c:v>0.22</c:v>
                </c:pt>
                <c:pt idx="196">
                  <c:v>0.48</c:v>
                </c:pt>
                <c:pt idx="197">
                  <c:v>0.17</c:v>
                </c:pt>
                <c:pt idx="198">
                  <c:v>0.47</c:v>
                </c:pt>
                <c:pt idx="199">
                  <c:v>1.02</c:v>
                </c:pt>
                <c:pt idx="200">
                  <c:v>0.8</c:v>
                </c:pt>
                <c:pt idx="201">
                  <c:v>1.54</c:v>
                </c:pt>
                <c:pt idx="202">
                  <c:v>1.77</c:v>
                </c:pt>
                <c:pt idx="203">
                  <c:v>1.96</c:v>
                </c:pt>
                <c:pt idx="204">
                  <c:v>2.2200000000000002</c:v>
                </c:pt>
                <c:pt idx="205">
                  <c:v>2.85</c:v>
                </c:pt>
                <c:pt idx="206">
                  <c:v>2.62</c:v>
                </c:pt>
                <c:pt idx="207">
                  <c:v>2.35</c:v>
                </c:pt>
                <c:pt idx="208">
                  <c:v>2.42</c:v>
                </c:pt>
                <c:pt idx="209">
                  <c:v>1.98</c:v>
                </c:pt>
                <c:pt idx="210">
                  <c:v>1.97</c:v>
                </c:pt>
                <c:pt idx="211">
                  <c:v>1.7</c:v>
                </c:pt>
                <c:pt idx="212">
                  <c:v>0.89</c:v>
                </c:pt>
                <c:pt idx="213">
                  <c:v>0.55000000000000004</c:v>
                </c:pt>
                <c:pt idx="214">
                  <c:v>0.42</c:v>
                </c:pt>
                <c:pt idx="215">
                  <c:v>0.17</c:v>
                </c:pt>
                <c:pt idx="216">
                  <c:v>0.15</c:v>
                </c:pt>
                <c:pt idx="217">
                  <c:v>0.53</c:v>
                </c:pt>
                <c:pt idx="218">
                  <c:v>0.37</c:v>
                </c:pt>
                <c:pt idx="219">
                  <c:v>0.09</c:v>
                </c:pt>
                <c:pt idx="220">
                  <c:v>0.27</c:v>
                </c:pt>
                <c:pt idx="221">
                  <c:v>0.52</c:v>
                </c:pt>
                <c:pt idx="222">
                  <c:v>0.46</c:v>
                </c:pt>
                <c:pt idx="223">
                  <c:v>0.33</c:v>
                </c:pt>
                <c:pt idx="224">
                  <c:v>0.67</c:v>
                </c:pt>
                <c:pt idx="225">
                  <c:v>0.42</c:v>
                </c:pt>
                <c:pt idx="226">
                  <c:v>0.37</c:v>
                </c:pt>
                <c:pt idx="227">
                  <c:v>0.42</c:v>
                </c:pt>
                <c:pt idx="228">
                  <c:v>0.47</c:v>
                </c:pt>
                <c:pt idx="229">
                  <c:v>0.78</c:v>
                </c:pt>
                <c:pt idx="230">
                  <c:v>1.84</c:v>
                </c:pt>
                <c:pt idx="231">
                  <c:v>1.75</c:v>
                </c:pt>
                <c:pt idx="232">
                  <c:v>1.68</c:v>
                </c:pt>
                <c:pt idx="233">
                  <c:v>1.05</c:v>
                </c:pt>
                <c:pt idx="234">
                  <c:v>1.63</c:v>
                </c:pt>
                <c:pt idx="235">
                  <c:v>1.36</c:v>
                </c:pt>
                <c:pt idx="236">
                  <c:v>0.26</c:v>
                </c:pt>
                <c:pt idx="237">
                  <c:v>0.67</c:v>
                </c:pt>
                <c:pt idx="238">
                  <c:v>0.68</c:v>
                </c:pt>
                <c:pt idx="239">
                  <c:v>0.24</c:v>
                </c:pt>
                <c:pt idx="240">
                  <c:v>0.09</c:v>
                </c:pt>
                <c:pt idx="241">
                  <c:v>0.17</c:v>
                </c:pt>
                <c:pt idx="242">
                  <c:v>0.24</c:v>
                </c:pt>
                <c:pt idx="243">
                  <c:v>0.28999999999999998</c:v>
                </c:pt>
                <c:pt idx="244">
                  <c:v>0.4</c:v>
                </c:pt>
                <c:pt idx="245">
                  <c:v>0.14000000000000001</c:v>
                </c:pt>
                <c:pt idx="246">
                  <c:v>0.57999999999999996</c:v>
                </c:pt>
                <c:pt idx="247">
                  <c:v>1.32</c:v>
                </c:pt>
                <c:pt idx="248">
                  <c:v>1.51</c:v>
                </c:pt>
                <c:pt idx="249">
                  <c:v>0.66</c:v>
                </c:pt>
                <c:pt idx="250">
                  <c:v>1.03</c:v>
                </c:pt>
                <c:pt idx="251">
                  <c:v>0.74</c:v>
                </c:pt>
                <c:pt idx="252">
                  <c:v>0.99</c:v>
                </c:pt>
                <c:pt idx="253">
                  <c:v>0.92</c:v>
                </c:pt>
                <c:pt idx="254">
                  <c:v>0.66</c:v>
                </c:pt>
                <c:pt idx="255">
                  <c:v>1.62</c:v>
                </c:pt>
                <c:pt idx="256">
                  <c:v>1.45</c:v>
                </c:pt>
                <c:pt idx="257">
                  <c:v>1.07</c:v>
                </c:pt>
                <c:pt idx="258">
                  <c:v>0.79</c:v>
                </c:pt>
                <c:pt idx="259">
                  <c:v>1.0900000000000001</c:v>
                </c:pt>
                <c:pt idx="260">
                  <c:v>0.15</c:v>
                </c:pt>
                <c:pt idx="261">
                  <c:v>0.49</c:v>
                </c:pt>
                <c:pt idx="262">
                  <c:v>0.14000000000000001</c:v>
                </c:pt>
                <c:pt idx="263">
                  <c:v>0.18</c:v>
                </c:pt>
                <c:pt idx="264">
                  <c:v>0.15</c:v>
                </c:pt>
                <c:pt idx="265">
                  <c:v>0.99</c:v>
                </c:pt>
                <c:pt idx="266">
                  <c:v>1.37</c:v>
                </c:pt>
                <c:pt idx="267">
                  <c:v>1.76</c:v>
                </c:pt>
                <c:pt idx="268">
                  <c:v>1.01</c:v>
                </c:pt>
                <c:pt idx="269">
                  <c:v>0.94</c:v>
                </c:pt>
                <c:pt idx="270">
                  <c:v>1.1299999999999999</c:v>
                </c:pt>
                <c:pt idx="271">
                  <c:v>1.07</c:v>
                </c:pt>
                <c:pt idx="272">
                  <c:v>1.42</c:v>
                </c:pt>
                <c:pt idx="273">
                  <c:v>1.51</c:v>
                </c:pt>
                <c:pt idx="274">
                  <c:v>1.18</c:v>
                </c:pt>
                <c:pt idx="275">
                  <c:v>1.1200000000000001</c:v>
                </c:pt>
                <c:pt idx="276">
                  <c:v>1.55</c:v>
                </c:pt>
                <c:pt idx="277">
                  <c:v>1.55</c:v>
                </c:pt>
                <c:pt idx="278">
                  <c:v>2.17</c:v>
                </c:pt>
                <c:pt idx="279">
                  <c:v>2.2799999999999998</c:v>
                </c:pt>
                <c:pt idx="280">
                  <c:v>2.84</c:v>
                </c:pt>
                <c:pt idx="281">
                  <c:v>2.87</c:v>
                </c:pt>
                <c:pt idx="282">
                  <c:v>2.57</c:v>
                </c:pt>
                <c:pt idx="283">
                  <c:v>2.52</c:v>
                </c:pt>
                <c:pt idx="284">
                  <c:v>1.7</c:v>
                </c:pt>
                <c:pt idx="285">
                  <c:v>1.27</c:v>
                </c:pt>
                <c:pt idx="286">
                  <c:v>0.59</c:v>
                </c:pt>
                <c:pt idx="287">
                  <c:v>0.35</c:v>
                </c:pt>
                <c:pt idx="288">
                  <c:v>0.15</c:v>
                </c:pt>
                <c:pt idx="289">
                  <c:v>0.08</c:v>
                </c:pt>
                <c:pt idx="290">
                  <c:v>0.27</c:v>
                </c:pt>
                <c:pt idx="291">
                  <c:v>0.21</c:v>
                </c:pt>
                <c:pt idx="292">
                  <c:v>0.23</c:v>
                </c:pt>
                <c:pt idx="293">
                  <c:v>0.21</c:v>
                </c:pt>
                <c:pt idx="294">
                  <c:v>0.75</c:v>
                </c:pt>
                <c:pt idx="295">
                  <c:v>1.51</c:v>
                </c:pt>
                <c:pt idx="296">
                  <c:v>2.09</c:v>
                </c:pt>
                <c:pt idx="297">
                  <c:v>2.54</c:v>
                </c:pt>
                <c:pt idx="298">
                  <c:v>1.81</c:v>
                </c:pt>
                <c:pt idx="299">
                  <c:v>2.46</c:v>
                </c:pt>
                <c:pt idx="300">
                  <c:v>3.5</c:v>
                </c:pt>
                <c:pt idx="301">
                  <c:v>3.67</c:v>
                </c:pt>
                <c:pt idx="302">
                  <c:v>3.88</c:v>
                </c:pt>
                <c:pt idx="303">
                  <c:v>3.54</c:v>
                </c:pt>
                <c:pt idx="304">
                  <c:v>2.0699999999999998</c:v>
                </c:pt>
                <c:pt idx="305">
                  <c:v>2.17</c:v>
                </c:pt>
                <c:pt idx="306">
                  <c:v>1.65</c:v>
                </c:pt>
                <c:pt idx="307">
                  <c:v>0.28000000000000003</c:v>
                </c:pt>
                <c:pt idx="308">
                  <c:v>0.85</c:v>
                </c:pt>
                <c:pt idx="309">
                  <c:v>0.09</c:v>
                </c:pt>
                <c:pt idx="310">
                  <c:v>0.43</c:v>
                </c:pt>
                <c:pt idx="311">
                  <c:v>0.14000000000000001</c:v>
                </c:pt>
                <c:pt idx="312">
                  <c:v>0.16</c:v>
                </c:pt>
                <c:pt idx="313">
                  <c:v>0.16</c:v>
                </c:pt>
                <c:pt idx="314">
                  <c:v>0.39</c:v>
                </c:pt>
                <c:pt idx="315">
                  <c:v>0.34</c:v>
                </c:pt>
                <c:pt idx="316">
                  <c:v>0.19</c:v>
                </c:pt>
                <c:pt idx="317">
                  <c:v>0.32</c:v>
                </c:pt>
                <c:pt idx="318">
                  <c:v>0.43</c:v>
                </c:pt>
                <c:pt idx="319">
                  <c:v>1.87</c:v>
                </c:pt>
                <c:pt idx="320">
                  <c:v>2.4500000000000002</c:v>
                </c:pt>
                <c:pt idx="321">
                  <c:v>1.49</c:v>
                </c:pt>
                <c:pt idx="322">
                  <c:v>1.74</c:v>
                </c:pt>
                <c:pt idx="323">
                  <c:v>1.32</c:v>
                </c:pt>
                <c:pt idx="324">
                  <c:v>2.4300000000000002</c:v>
                </c:pt>
                <c:pt idx="325">
                  <c:v>2.5</c:v>
                </c:pt>
                <c:pt idx="326">
                  <c:v>2.77</c:v>
                </c:pt>
                <c:pt idx="327">
                  <c:v>1.83</c:v>
                </c:pt>
                <c:pt idx="328">
                  <c:v>2.12</c:v>
                </c:pt>
                <c:pt idx="329">
                  <c:v>2.08</c:v>
                </c:pt>
                <c:pt idx="330">
                  <c:v>1.02</c:v>
                </c:pt>
                <c:pt idx="331">
                  <c:v>1.2</c:v>
                </c:pt>
                <c:pt idx="332">
                  <c:v>0.32</c:v>
                </c:pt>
                <c:pt idx="333">
                  <c:v>0.11</c:v>
                </c:pt>
                <c:pt idx="334">
                  <c:v>0.37</c:v>
                </c:pt>
                <c:pt idx="335">
                  <c:v>0.44</c:v>
                </c:pt>
              </c:numCache>
            </c:numRef>
          </c:xVal>
          <c:yVal>
            <c:numRef>
              <c:f>'Example ozone analysis'!$E$2:$E$337</c:f>
              <c:numCache>
                <c:formatCode>General</c:formatCode>
                <c:ptCount val="336"/>
                <c:pt idx="0">
                  <c:v>10.02</c:v>
                </c:pt>
                <c:pt idx="1">
                  <c:v>15.2</c:v>
                </c:pt>
                <c:pt idx="2">
                  <c:v>14.91</c:v>
                </c:pt>
                <c:pt idx="3">
                  <c:v>12.05</c:v>
                </c:pt>
                <c:pt idx="4">
                  <c:v>12.34</c:v>
                </c:pt>
                <c:pt idx="5">
                  <c:v>9.91</c:v>
                </c:pt>
                <c:pt idx="6">
                  <c:v>9.5299999999999994</c:v>
                </c:pt>
                <c:pt idx="7">
                  <c:v>10.56</c:v>
                </c:pt>
                <c:pt idx="8">
                  <c:v>11.14</c:v>
                </c:pt>
                <c:pt idx="9">
                  <c:v>11.69</c:v>
                </c:pt>
                <c:pt idx="10">
                  <c:v>12.48</c:v>
                </c:pt>
                <c:pt idx="11">
                  <c:v>17.510000000000002</c:v>
                </c:pt>
                <c:pt idx="12">
                  <c:v>21.62</c:v>
                </c:pt>
                <c:pt idx="13">
                  <c:v>20.07</c:v>
                </c:pt>
                <c:pt idx="14">
                  <c:v>17.510000000000002</c:v>
                </c:pt>
                <c:pt idx="15">
                  <c:v>18</c:v>
                </c:pt>
                <c:pt idx="16">
                  <c:v>14.7</c:v>
                </c:pt>
                <c:pt idx="17">
                  <c:v>12.77</c:v>
                </c:pt>
                <c:pt idx="18">
                  <c:v>13.33</c:v>
                </c:pt>
                <c:pt idx="19">
                  <c:v>13.01</c:v>
                </c:pt>
                <c:pt idx="20">
                  <c:v>14.64</c:v>
                </c:pt>
                <c:pt idx="21">
                  <c:v>16.350000000000001</c:v>
                </c:pt>
                <c:pt idx="22">
                  <c:v>15.36</c:v>
                </c:pt>
                <c:pt idx="23">
                  <c:v>14.28</c:v>
                </c:pt>
                <c:pt idx="24">
                  <c:v>10.210000000000001</c:v>
                </c:pt>
                <c:pt idx="25">
                  <c:v>11.95</c:v>
                </c:pt>
                <c:pt idx="26">
                  <c:v>10.86</c:v>
                </c:pt>
                <c:pt idx="27">
                  <c:v>6.33</c:v>
                </c:pt>
                <c:pt idx="28">
                  <c:v>0.71</c:v>
                </c:pt>
                <c:pt idx="29">
                  <c:v>0.51</c:v>
                </c:pt>
                <c:pt idx="30">
                  <c:v>1.37</c:v>
                </c:pt>
                <c:pt idx="31">
                  <c:v>6.33</c:v>
                </c:pt>
                <c:pt idx="32">
                  <c:v>12.44</c:v>
                </c:pt>
                <c:pt idx="33">
                  <c:v>13.35</c:v>
                </c:pt>
                <c:pt idx="34">
                  <c:v>17.98</c:v>
                </c:pt>
                <c:pt idx="35">
                  <c:v>18.66</c:v>
                </c:pt>
                <c:pt idx="36">
                  <c:v>21.35</c:v>
                </c:pt>
                <c:pt idx="37">
                  <c:v>21.58</c:v>
                </c:pt>
                <c:pt idx="38">
                  <c:v>24.28</c:v>
                </c:pt>
                <c:pt idx="39">
                  <c:v>25.27</c:v>
                </c:pt>
                <c:pt idx="40">
                  <c:v>23.21</c:v>
                </c:pt>
                <c:pt idx="41">
                  <c:v>21.42</c:v>
                </c:pt>
                <c:pt idx="42">
                  <c:v>19.22</c:v>
                </c:pt>
                <c:pt idx="43">
                  <c:v>18.96</c:v>
                </c:pt>
                <c:pt idx="44">
                  <c:v>17.739999999999998</c:v>
                </c:pt>
                <c:pt idx="45">
                  <c:v>14.04</c:v>
                </c:pt>
                <c:pt idx="46">
                  <c:v>13.95</c:v>
                </c:pt>
                <c:pt idx="47">
                  <c:v>11.81</c:v>
                </c:pt>
                <c:pt idx="48">
                  <c:v>14.23</c:v>
                </c:pt>
                <c:pt idx="49">
                  <c:v>15.72</c:v>
                </c:pt>
                <c:pt idx="50">
                  <c:v>14.99</c:v>
                </c:pt>
                <c:pt idx="51">
                  <c:v>12.61</c:v>
                </c:pt>
                <c:pt idx="52">
                  <c:v>8.18</c:v>
                </c:pt>
                <c:pt idx="53">
                  <c:v>1.19</c:v>
                </c:pt>
                <c:pt idx="54">
                  <c:v>2.72</c:v>
                </c:pt>
                <c:pt idx="55">
                  <c:v>8.66</c:v>
                </c:pt>
                <c:pt idx="56">
                  <c:v>10.89</c:v>
                </c:pt>
                <c:pt idx="57">
                  <c:v>15.17</c:v>
                </c:pt>
                <c:pt idx="58">
                  <c:v>16.64</c:v>
                </c:pt>
                <c:pt idx="59">
                  <c:v>17.809999999999999</c:v>
                </c:pt>
                <c:pt idx="60">
                  <c:v>17.71</c:v>
                </c:pt>
                <c:pt idx="61">
                  <c:v>23.55</c:v>
                </c:pt>
                <c:pt idx="62">
                  <c:v>20.82</c:v>
                </c:pt>
                <c:pt idx="63">
                  <c:v>16.66</c:v>
                </c:pt>
                <c:pt idx="64">
                  <c:v>15.12</c:v>
                </c:pt>
                <c:pt idx="65">
                  <c:v>13.91</c:v>
                </c:pt>
                <c:pt idx="66">
                  <c:v>12.51</c:v>
                </c:pt>
                <c:pt idx="67">
                  <c:v>11.03</c:v>
                </c:pt>
                <c:pt idx="68">
                  <c:v>7.53</c:v>
                </c:pt>
                <c:pt idx="69">
                  <c:v>2.61</c:v>
                </c:pt>
                <c:pt idx="70">
                  <c:v>0.2</c:v>
                </c:pt>
                <c:pt idx="71">
                  <c:v>0.13</c:v>
                </c:pt>
                <c:pt idx="72">
                  <c:v>0.14000000000000001</c:v>
                </c:pt>
                <c:pt idx="73">
                  <c:v>0.14000000000000001</c:v>
                </c:pt>
                <c:pt idx="74">
                  <c:v>0.15</c:v>
                </c:pt>
                <c:pt idx="75">
                  <c:v>0.19</c:v>
                </c:pt>
                <c:pt idx="76">
                  <c:v>0.18</c:v>
                </c:pt>
                <c:pt idx="77">
                  <c:v>0.23</c:v>
                </c:pt>
                <c:pt idx="78">
                  <c:v>0.68</c:v>
                </c:pt>
                <c:pt idx="79">
                  <c:v>3.31</c:v>
                </c:pt>
                <c:pt idx="80">
                  <c:v>7.68</c:v>
                </c:pt>
                <c:pt idx="81">
                  <c:v>4.78</c:v>
                </c:pt>
                <c:pt idx="82">
                  <c:v>10.06</c:v>
                </c:pt>
                <c:pt idx="83">
                  <c:v>15.27</c:v>
                </c:pt>
                <c:pt idx="84">
                  <c:v>21.07</c:v>
                </c:pt>
                <c:pt idx="85">
                  <c:v>28.16</c:v>
                </c:pt>
                <c:pt idx="86">
                  <c:v>33.19</c:v>
                </c:pt>
                <c:pt idx="87">
                  <c:v>32.11</c:v>
                </c:pt>
                <c:pt idx="88">
                  <c:v>29.91</c:v>
                </c:pt>
                <c:pt idx="89">
                  <c:v>22.11</c:v>
                </c:pt>
                <c:pt idx="90">
                  <c:v>15.7</c:v>
                </c:pt>
                <c:pt idx="91">
                  <c:v>13.55</c:v>
                </c:pt>
                <c:pt idx="92">
                  <c:v>11.11</c:v>
                </c:pt>
                <c:pt idx="93">
                  <c:v>9.26</c:v>
                </c:pt>
                <c:pt idx="94">
                  <c:v>6.75</c:v>
                </c:pt>
                <c:pt idx="95">
                  <c:v>0.56999999999999995</c:v>
                </c:pt>
                <c:pt idx="96">
                  <c:v>0.08</c:v>
                </c:pt>
                <c:pt idx="97">
                  <c:v>0.14000000000000001</c:v>
                </c:pt>
                <c:pt idx="98">
                  <c:v>0.13</c:v>
                </c:pt>
                <c:pt idx="99">
                  <c:v>0.13</c:v>
                </c:pt>
                <c:pt idx="100">
                  <c:v>0.1</c:v>
                </c:pt>
                <c:pt idx="101">
                  <c:v>0.14000000000000001</c:v>
                </c:pt>
                <c:pt idx="102">
                  <c:v>0.41</c:v>
                </c:pt>
                <c:pt idx="103">
                  <c:v>3.81</c:v>
                </c:pt>
                <c:pt idx="104">
                  <c:v>15.28</c:v>
                </c:pt>
                <c:pt idx="105">
                  <c:v>30.68</c:v>
                </c:pt>
                <c:pt idx="106">
                  <c:v>39.14</c:v>
                </c:pt>
                <c:pt idx="107">
                  <c:v>49.02</c:v>
                </c:pt>
                <c:pt idx="108">
                  <c:v>51.06</c:v>
                </c:pt>
                <c:pt idx="109">
                  <c:v>53.3</c:v>
                </c:pt>
                <c:pt idx="110">
                  <c:v>49.05</c:v>
                </c:pt>
                <c:pt idx="111">
                  <c:v>51.92</c:v>
                </c:pt>
                <c:pt idx="112">
                  <c:v>43.76</c:v>
                </c:pt>
                <c:pt idx="113">
                  <c:v>28.89</c:v>
                </c:pt>
                <c:pt idx="114">
                  <c:v>30.39</c:v>
                </c:pt>
                <c:pt idx="115">
                  <c:v>33.299999999999997</c:v>
                </c:pt>
                <c:pt idx="116">
                  <c:v>28.09</c:v>
                </c:pt>
                <c:pt idx="117">
                  <c:v>15.44</c:v>
                </c:pt>
                <c:pt idx="118">
                  <c:v>18.03</c:v>
                </c:pt>
                <c:pt idx="119">
                  <c:v>36.840000000000003</c:v>
                </c:pt>
                <c:pt idx="120">
                  <c:v>35.01</c:v>
                </c:pt>
                <c:pt idx="121">
                  <c:v>25.28</c:v>
                </c:pt>
                <c:pt idx="122">
                  <c:v>26.06</c:v>
                </c:pt>
                <c:pt idx="123">
                  <c:v>17.89</c:v>
                </c:pt>
                <c:pt idx="124">
                  <c:v>12.53</c:v>
                </c:pt>
                <c:pt idx="125">
                  <c:v>5.77</c:v>
                </c:pt>
                <c:pt idx="126">
                  <c:v>5.12</c:v>
                </c:pt>
                <c:pt idx="127">
                  <c:v>11.79</c:v>
                </c:pt>
                <c:pt idx="128">
                  <c:v>22.01</c:v>
                </c:pt>
                <c:pt idx="129">
                  <c:v>20.49</c:v>
                </c:pt>
                <c:pt idx="130">
                  <c:v>16.02</c:v>
                </c:pt>
                <c:pt idx="131">
                  <c:v>13.49</c:v>
                </c:pt>
                <c:pt idx="132">
                  <c:v>13.59</c:v>
                </c:pt>
                <c:pt idx="133">
                  <c:v>14.4</c:v>
                </c:pt>
                <c:pt idx="134">
                  <c:v>14.42</c:v>
                </c:pt>
                <c:pt idx="135">
                  <c:v>9.68</c:v>
                </c:pt>
                <c:pt idx="136">
                  <c:v>7.06</c:v>
                </c:pt>
                <c:pt idx="137">
                  <c:v>4</c:v>
                </c:pt>
                <c:pt idx="138">
                  <c:v>1.92</c:v>
                </c:pt>
                <c:pt idx="139">
                  <c:v>1.26</c:v>
                </c:pt>
                <c:pt idx="140">
                  <c:v>2.2999999999999998</c:v>
                </c:pt>
                <c:pt idx="141">
                  <c:v>1.31</c:v>
                </c:pt>
                <c:pt idx="142">
                  <c:v>1.56</c:v>
                </c:pt>
                <c:pt idx="143">
                  <c:v>0.77</c:v>
                </c:pt>
                <c:pt idx="144">
                  <c:v>0.78</c:v>
                </c:pt>
                <c:pt idx="145">
                  <c:v>1.1599999999999999</c:v>
                </c:pt>
                <c:pt idx="146">
                  <c:v>0.38</c:v>
                </c:pt>
                <c:pt idx="147">
                  <c:v>0.06</c:v>
                </c:pt>
                <c:pt idx="148">
                  <c:v>0.06</c:v>
                </c:pt>
                <c:pt idx="149">
                  <c:v>0.11</c:v>
                </c:pt>
                <c:pt idx="150">
                  <c:v>0.79</c:v>
                </c:pt>
                <c:pt idx="151">
                  <c:v>2.2400000000000002</c:v>
                </c:pt>
                <c:pt idx="152">
                  <c:v>8.9700000000000006</c:v>
                </c:pt>
                <c:pt idx="153">
                  <c:v>11.15</c:v>
                </c:pt>
                <c:pt idx="154">
                  <c:v>13.44</c:v>
                </c:pt>
                <c:pt idx="155">
                  <c:v>14.21</c:v>
                </c:pt>
                <c:pt idx="156">
                  <c:v>14.21</c:v>
                </c:pt>
                <c:pt idx="157">
                  <c:v>14.79</c:v>
                </c:pt>
                <c:pt idx="158">
                  <c:v>14.58</c:v>
                </c:pt>
                <c:pt idx="159">
                  <c:v>16.21</c:v>
                </c:pt>
                <c:pt idx="160">
                  <c:v>17.579999999999998</c:v>
                </c:pt>
                <c:pt idx="161">
                  <c:v>17</c:v>
                </c:pt>
                <c:pt idx="162">
                  <c:v>16.690000000000001</c:v>
                </c:pt>
                <c:pt idx="163">
                  <c:v>15.44</c:v>
                </c:pt>
                <c:pt idx="164">
                  <c:v>14.44</c:v>
                </c:pt>
                <c:pt idx="165">
                  <c:v>13.24</c:v>
                </c:pt>
                <c:pt idx="166">
                  <c:v>11.3</c:v>
                </c:pt>
                <c:pt idx="167">
                  <c:v>9.23</c:v>
                </c:pt>
                <c:pt idx="168">
                  <c:v>6.45</c:v>
                </c:pt>
                <c:pt idx="169">
                  <c:v>5.67</c:v>
                </c:pt>
                <c:pt idx="170">
                  <c:v>3.39</c:v>
                </c:pt>
                <c:pt idx="171">
                  <c:v>2.1</c:v>
                </c:pt>
                <c:pt idx="172">
                  <c:v>3.65</c:v>
                </c:pt>
                <c:pt idx="173">
                  <c:v>1.91</c:v>
                </c:pt>
                <c:pt idx="174">
                  <c:v>0.84</c:v>
                </c:pt>
                <c:pt idx="175">
                  <c:v>2.0099999999999998</c:v>
                </c:pt>
                <c:pt idx="176">
                  <c:v>6.53</c:v>
                </c:pt>
                <c:pt idx="177">
                  <c:v>12.88</c:v>
                </c:pt>
                <c:pt idx="178">
                  <c:v>14.65</c:v>
                </c:pt>
                <c:pt idx="179">
                  <c:v>12.68</c:v>
                </c:pt>
                <c:pt idx="181">
                  <c:v>9.9</c:v>
                </c:pt>
                <c:pt idx="182">
                  <c:v>11.43</c:v>
                </c:pt>
                <c:pt idx="183">
                  <c:v>12.86</c:v>
                </c:pt>
                <c:pt idx="184">
                  <c:v>11.1</c:v>
                </c:pt>
                <c:pt idx="185">
                  <c:v>11.01</c:v>
                </c:pt>
                <c:pt idx="186">
                  <c:v>10.49</c:v>
                </c:pt>
                <c:pt idx="187">
                  <c:v>10.45</c:v>
                </c:pt>
                <c:pt idx="188">
                  <c:v>9.2100000000000009</c:v>
                </c:pt>
                <c:pt idx="189">
                  <c:v>7.65</c:v>
                </c:pt>
                <c:pt idx="190">
                  <c:v>7.57</c:v>
                </c:pt>
                <c:pt idx="191">
                  <c:v>9.08</c:v>
                </c:pt>
                <c:pt idx="192">
                  <c:v>4.3499999999999996</c:v>
                </c:pt>
                <c:pt idx="193">
                  <c:v>0.57999999999999996</c:v>
                </c:pt>
                <c:pt idx="194">
                  <c:v>0.2</c:v>
                </c:pt>
                <c:pt idx="195">
                  <c:v>0.21</c:v>
                </c:pt>
                <c:pt idx="196">
                  <c:v>0.19</c:v>
                </c:pt>
                <c:pt idx="197">
                  <c:v>0.19</c:v>
                </c:pt>
                <c:pt idx="198">
                  <c:v>0.6</c:v>
                </c:pt>
                <c:pt idx="199">
                  <c:v>1.36</c:v>
                </c:pt>
                <c:pt idx="200">
                  <c:v>3.49</c:v>
                </c:pt>
                <c:pt idx="201">
                  <c:v>7.58</c:v>
                </c:pt>
                <c:pt idx="202">
                  <c:v>8.93</c:v>
                </c:pt>
                <c:pt idx="203">
                  <c:v>12.13</c:v>
                </c:pt>
                <c:pt idx="204">
                  <c:v>15.59</c:v>
                </c:pt>
                <c:pt idx="205">
                  <c:v>16.23</c:v>
                </c:pt>
                <c:pt idx="206">
                  <c:v>17.88</c:v>
                </c:pt>
                <c:pt idx="207">
                  <c:v>16.5</c:v>
                </c:pt>
                <c:pt idx="208">
                  <c:v>14.72</c:v>
                </c:pt>
                <c:pt idx="209">
                  <c:v>11.75</c:v>
                </c:pt>
                <c:pt idx="210">
                  <c:v>9.0299999999999994</c:v>
                </c:pt>
                <c:pt idx="211">
                  <c:v>5.79</c:v>
                </c:pt>
                <c:pt idx="212">
                  <c:v>2.4</c:v>
                </c:pt>
                <c:pt idx="213">
                  <c:v>0.59</c:v>
                </c:pt>
                <c:pt idx="214">
                  <c:v>0.27</c:v>
                </c:pt>
                <c:pt idx="215">
                  <c:v>0.15</c:v>
                </c:pt>
                <c:pt idx="216">
                  <c:v>0.27</c:v>
                </c:pt>
                <c:pt idx="217">
                  <c:v>1.43</c:v>
                </c:pt>
                <c:pt idx="218">
                  <c:v>2.44</c:v>
                </c:pt>
                <c:pt idx="219">
                  <c:v>0.63</c:v>
                </c:pt>
                <c:pt idx="220">
                  <c:v>0.14000000000000001</c:v>
                </c:pt>
                <c:pt idx="221">
                  <c:v>0.21</c:v>
                </c:pt>
                <c:pt idx="222">
                  <c:v>0.31</c:v>
                </c:pt>
                <c:pt idx="223">
                  <c:v>0.77</c:v>
                </c:pt>
                <c:pt idx="224">
                  <c:v>3.94</c:v>
                </c:pt>
                <c:pt idx="225">
                  <c:v>7.01</c:v>
                </c:pt>
                <c:pt idx="226">
                  <c:v>11.88</c:v>
                </c:pt>
                <c:pt idx="227">
                  <c:v>17.66</c:v>
                </c:pt>
                <c:pt idx="228">
                  <c:v>22.35</c:v>
                </c:pt>
                <c:pt idx="229">
                  <c:v>31.01</c:v>
                </c:pt>
                <c:pt idx="230">
                  <c:v>25.84</c:v>
                </c:pt>
                <c:pt idx="231">
                  <c:v>21</c:v>
                </c:pt>
                <c:pt idx="232">
                  <c:v>24</c:v>
                </c:pt>
                <c:pt idx="233">
                  <c:v>18.350000000000001</c:v>
                </c:pt>
                <c:pt idx="234">
                  <c:v>9.16</c:v>
                </c:pt>
                <c:pt idx="235">
                  <c:v>8.56</c:v>
                </c:pt>
                <c:pt idx="236">
                  <c:v>7.78</c:v>
                </c:pt>
                <c:pt idx="237">
                  <c:v>9.3699999999999992</c:v>
                </c:pt>
                <c:pt idx="238">
                  <c:v>9.42</c:v>
                </c:pt>
                <c:pt idx="239">
                  <c:v>6.59</c:v>
                </c:pt>
                <c:pt idx="240">
                  <c:v>3.33</c:v>
                </c:pt>
                <c:pt idx="241">
                  <c:v>0.7</c:v>
                </c:pt>
                <c:pt idx="242">
                  <c:v>0.17</c:v>
                </c:pt>
                <c:pt idx="243">
                  <c:v>0.24</c:v>
                </c:pt>
                <c:pt idx="244">
                  <c:v>0.13</c:v>
                </c:pt>
                <c:pt idx="245">
                  <c:v>0.09</c:v>
                </c:pt>
                <c:pt idx="246">
                  <c:v>0.47</c:v>
                </c:pt>
                <c:pt idx="247">
                  <c:v>2.5499999999999998</c:v>
                </c:pt>
                <c:pt idx="248">
                  <c:v>5.25</c:v>
                </c:pt>
                <c:pt idx="249">
                  <c:v>11.66</c:v>
                </c:pt>
                <c:pt idx="250">
                  <c:v>26.89</c:v>
                </c:pt>
                <c:pt idx="251">
                  <c:v>37.25</c:v>
                </c:pt>
                <c:pt idx="252">
                  <c:v>41.83</c:v>
                </c:pt>
                <c:pt idx="253">
                  <c:v>40.840000000000003</c:v>
                </c:pt>
                <c:pt idx="254">
                  <c:v>41.76</c:v>
                </c:pt>
                <c:pt idx="255">
                  <c:v>36.42</c:v>
                </c:pt>
                <c:pt idx="256">
                  <c:v>37.659999999999997</c:v>
                </c:pt>
                <c:pt idx="257">
                  <c:v>31.18</c:v>
                </c:pt>
                <c:pt idx="258">
                  <c:v>32.79</c:v>
                </c:pt>
                <c:pt idx="259">
                  <c:v>29.86</c:v>
                </c:pt>
                <c:pt idx="260">
                  <c:v>23.81</c:v>
                </c:pt>
                <c:pt idx="261">
                  <c:v>11.44</c:v>
                </c:pt>
                <c:pt idx="262">
                  <c:v>3.78</c:v>
                </c:pt>
                <c:pt idx="263">
                  <c:v>0.39</c:v>
                </c:pt>
                <c:pt idx="264">
                  <c:v>0</c:v>
                </c:pt>
                <c:pt idx="265">
                  <c:v>2.5499999999999998</c:v>
                </c:pt>
                <c:pt idx="266">
                  <c:v>17.48</c:v>
                </c:pt>
                <c:pt idx="267">
                  <c:v>18.489999999999998</c:v>
                </c:pt>
                <c:pt idx="268">
                  <c:v>14.39</c:v>
                </c:pt>
                <c:pt idx="269">
                  <c:v>9.91</c:v>
                </c:pt>
                <c:pt idx="270">
                  <c:v>8.1300000000000008</c:v>
                </c:pt>
                <c:pt idx="271">
                  <c:v>7.63</c:v>
                </c:pt>
                <c:pt idx="272">
                  <c:v>10.93</c:v>
                </c:pt>
                <c:pt idx="273">
                  <c:v>15.63</c:v>
                </c:pt>
                <c:pt idx="274">
                  <c:v>16.010000000000002</c:v>
                </c:pt>
                <c:pt idx="275">
                  <c:v>18.18</c:v>
                </c:pt>
                <c:pt idx="276">
                  <c:v>22.54</c:v>
                </c:pt>
                <c:pt idx="277">
                  <c:v>27.22</c:v>
                </c:pt>
                <c:pt idx="278">
                  <c:v>32.299999999999997</c:v>
                </c:pt>
                <c:pt idx="279">
                  <c:v>32.770000000000003</c:v>
                </c:pt>
                <c:pt idx="280">
                  <c:v>27.84</c:v>
                </c:pt>
                <c:pt idx="281">
                  <c:v>21.28</c:v>
                </c:pt>
                <c:pt idx="282">
                  <c:v>17.100000000000001</c:v>
                </c:pt>
                <c:pt idx="283">
                  <c:v>15.31</c:v>
                </c:pt>
                <c:pt idx="284">
                  <c:v>13.72</c:v>
                </c:pt>
                <c:pt idx="285">
                  <c:v>18.579999999999998</c:v>
                </c:pt>
                <c:pt idx="286">
                  <c:v>15.54</c:v>
                </c:pt>
                <c:pt idx="287">
                  <c:v>14.14</c:v>
                </c:pt>
                <c:pt idx="288">
                  <c:v>13.95</c:v>
                </c:pt>
                <c:pt idx="289">
                  <c:v>10.08</c:v>
                </c:pt>
                <c:pt idx="290">
                  <c:v>3.69</c:v>
                </c:pt>
                <c:pt idx="291">
                  <c:v>0.42</c:v>
                </c:pt>
                <c:pt idx="292">
                  <c:v>0.12</c:v>
                </c:pt>
                <c:pt idx="293">
                  <c:v>0.14000000000000001</c:v>
                </c:pt>
                <c:pt idx="294">
                  <c:v>0.7</c:v>
                </c:pt>
                <c:pt idx="295">
                  <c:v>5.68</c:v>
                </c:pt>
                <c:pt idx="296">
                  <c:v>13.11</c:v>
                </c:pt>
                <c:pt idx="297">
                  <c:v>20.09</c:v>
                </c:pt>
                <c:pt idx="298">
                  <c:v>24.97</c:v>
                </c:pt>
                <c:pt idx="299">
                  <c:v>25.68</c:v>
                </c:pt>
                <c:pt idx="300">
                  <c:v>26.87</c:v>
                </c:pt>
                <c:pt idx="301">
                  <c:v>28.48</c:v>
                </c:pt>
                <c:pt idx="302">
                  <c:v>34.9</c:v>
                </c:pt>
                <c:pt idx="303">
                  <c:v>34.43</c:v>
                </c:pt>
                <c:pt idx="304">
                  <c:v>35.590000000000003</c:v>
                </c:pt>
                <c:pt idx="305">
                  <c:v>33.83</c:v>
                </c:pt>
                <c:pt idx="306">
                  <c:v>28.09</c:v>
                </c:pt>
                <c:pt idx="307">
                  <c:v>18.09</c:v>
                </c:pt>
                <c:pt idx="308">
                  <c:v>6.39</c:v>
                </c:pt>
                <c:pt idx="309">
                  <c:v>11.47</c:v>
                </c:pt>
                <c:pt idx="310">
                  <c:v>4.3899999999999997</c:v>
                </c:pt>
                <c:pt idx="311">
                  <c:v>0.71</c:v>
                </c:pt>
                <c:pt idx="312">
                  <c:v>1.1100000000000001</c:v>
                </c:pt>
                <c:pt idx="313">
                  <c:v>0.89</c:v>
                </c:pt>
                <c:pt idx="314">
                  <c:v>2.83</c:v>
                </c:pt>
                <c:pt idx="315">
                  <c:v>1.0900000000000001</c:v>
                </c:pt>
                <c:pt idx="316">
                  <c:v>2.87</c:v>
                </c:pt>
                <c:pt idx="317">
                  <c:v>3.47</c:v>
                </c:pt>
                <c:pt idx="318">
                  <c:v>3.68</c:v>
                </c:pt>
                <c:pt idx="319">
                  <c:v>18.61</c:v>
                </c:pt>
                <c:pt idx="320">
                  <c:v>26.58</c:v>
                </c:pt>
                <c:pt idx="321">
                  <c:v>31.46</c:v>
                </c:pt>
                <c:pt idx="322">
                  <c:v>29.84</c:v>
                </c:pt>
                <c:pt idx="323">
                  <c:v>32.380000000000003</c:v>
                </c:pt>
                <c:pt idx="324">
                  <c:v>44.13</c:v>
                </c:pt>
                <c:pt idx="325">
                  <c:v>49.17</c:v>
                </c:pt>
                <c:pt idx="326">
                  <c:v>53.98</c:v>
                </c:pt>
                <c:pt idx="327">
                  <c:v>60.16</c:v>
                </c:pt>
                <c:pt idx="328">
                  <c:v>60.71</c:v>
                </c:pt>
                <c:pt idx="329">
                  <c:v>45.4</c:v>
                </c:pt>
                <c:pt idx="330">
                  <c:v>38.5</c:v>
                </c:pt>
                <c:pt idx="331">
                  <c:v>29.92</c:v>
                </c:pt>
                <c:pt idx="332">
                  <c:v>20.07</c:v>
                </c:pt>
                <c:pt idx="333">
                  <c:v>8.41</c:v>
                </c:pt>
                <c:pt idx="334">
                  <c:v>13.92</c:v>
                </c:pt>
                <c:pt idx="335">
                  <c:v>12.79</c:v>
                </c:pt>
              </c:numCache>
            </c:numRef>
          </c:yVal>
          <c:smooth val="0"/>
          <c:extLst>
            <c:ext xmlns:c16="http://schemas.microsoft.com/office/drawing/2014/chart" uri="{C3380CC4-5D6E-409C-BE32-E72D297353CC}">
              <c16:uniqueId val="{00000001-B4D7-416D-BFE8-53B93365CD55}"/>
            </c:ext>
          </c:extLst>
        </c:ser>
        <c:dLbls>
          <c:showLegendKey val="0"/>
          <c:showVal val="0"/>
          <c:showCatName val="0"/>
          <c:showSerName val="0"/>
          <c:showPercent val="0"/>
          <c:showBubbleSize val="0"/>
        </c:dLbls>
        <c:axId val="1149821568"/>
        <c:axId val="1149820128"/>
        <c:extLst>
          <c:ext xmlns:c15="http://schemas.microsoft.com/office/drawing/2012/chart" uri="{02D57815-91ED-43cb-92C2-25804820EDAC}">
            <c15:filteredScatterSeries>
              <c15:ser>
                <c:idx val="0"/>
                <c:order val="0"/>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'Example ozone analysis'!$E$2:$E$337</c15:sqref>
                        </c15:formulaRef>
                      </c:ext>
                    </c:extLst>
                    <c:numCache>
                      <c:formatCode>General</c:formatCode>
                      <c:ptCount val="336"/>
                      <c:pt idx="0">
                        <c:v>10.02</c:v>
                      </c:pt>
                      <c:pt idx="1">
                        <c:v>15.2</c:v>
                      </c:pt>
                      <c:pt idx="2">
                        <c:v>14.91</c:v>
                      </c:pt>
                      <c:pt idx="3">
                        <c:v>12.05</c:v>
                      </c:pt>
                      <c:pt idx="4">
                        <c:v>12.34</c:v>
                      </c:pt>
                      <c:pt idx="5">
                        <c:v>9.91</c:v>
                      </c:pt>
                      <c:pt idx="6">
                        <c:v>9.5299999999999994</c:v>
                      </c:pt>
                      <c:pt idx="7">
                        <c:v>10.56</c:v>
                      </c:pt>
                      <c:pt idx="8">
                        <c:v>11.14</c:v>
                      </c:pt>
                      <c:pt idx="9">
                        <c:v>11.69</c:v>
                      </c:pt>
                      <c:pt idx="10">
                        <c:v>12.48</c:v>
                      </c:pt>
                      <c:pt idx="11">
                        <c:v>17.510000000000002</c:v>
                      </c:pt>
                      <c:pt idx="12">
                        <c:v>21.62</c:v>
                      </c:pt>
                      <c:pt idx="13">
                        <c:v>20.07</c:v>
                      </c:pt>
                      <c:pt idx="14">
                        <c:v>17.510000000000002</c:v>
                      </c:pt>
                      <c:pt idx="15">
                        <c:v>18</c:v>
                      </c:pt>
                      <c:pt idx="16">
                        <c:v>14.7</c:v>
                      </c:pt>
                      <c:pt idx="17">
                        <c:v>12.77</c:v>
                      </c:pt>
                      <c:pt idx="18">
                        <c:v>13.33</c:v>
                      </c:pt>
                      <c:pt idx="19">
                        <c:v>13.01</c:v>
                      </c:pt>
                      <c:pt idx="20">
                        <c:v>14.64</c:v>
                      </c:pt>
                      <c:pt idx="21">
                        <c:v>16.350000000000001</c:v>
                      </c:pt>
                      <c:pt idx="22">
                        <c:v>15.36</c:v>
                      </c:pt>
                      <c:pt idx="23">
                        <c:v>14.28</c:v>
                      </c:pt>
                      <c:pt idx="24">
                        <c:v>10.210000000000001</c:v>
                      </c:pt>
                      <c:pt idx="25">
                        <c:v>11.95</c:v>
                      </c:pt>
                      <c:pt idx="26">
                        <c:v>10.86</c:v>
                      </c:pt>
                      <c:pt idx="27">
                        <c:v>6.33</c:v>
                      </c:pt>
                      <c:pt idx="28">
                        <c:v>0.71</c:v>
                      </c:pt>
                      <c:pt idx="29">
                        <c:v>0.51</c:v>
                      </c:pt>
                      <c:pt idx="30">
                        <c:v>1.37</c:v>
                      </c:pt>
                      <c:pt idx="31">
                        <c:v>6.33</c:v>
                      </c:pt>
                      <c:pt idx="32">
                        <c:v>12.44</c:v>
                      </c:pt>
                      <c:pt idx="33">
                        <c:v>13.35</c:v>
                      </c:pt>
                      <c:pt idx="34">
                        <c:v>17.98</c:v>
                      </c:pt>
                      <c:pt idx="35">
                        <c:v>18.66</c:v>
                      </c:pt>
                      <c:pt idx="36">
                        <c:v>21.35</c:v>
                      </c:pt>
                      <c:pt idx="37">
                        <c:v>21.58</c:v>
                      </c:pt>
                      <c:pt idx="38">
                        <c:v>24.28</c:v>
                      </c:pt>
                      <c:pt idx="39">
                        <c:v>25.27</c:v>
                      </c:pt>
                      <c:pt idx="40">
                        <c:v>23.21</c:v>
                      </c:pt>
                      <c:pt idx="41">
                        <c:v>21.42</c:v>
                      </c:pt>
                      <c:pt idx="42">
                        <c:v>19.22</c:v>
                      </c:pt>
                      <c:pt idx="43">
                        <c:v>18.96</c:v>
                      </c:pt>
                      <c:pt idx="44">
                        <c:v>17.739999999999998</c:v>
                      </c:pt>
                      <c:pt idx="45">
                        <c:v>14.04</c:v>
                      </c:pt>
                      <c:pt idx="46">
                        <c:v>13.95</c:v>
                      </c:pt>
                      <c:pt idx="47">
                        <c:v>11.81</c:v>
                      </c:pt>
                      <c:pt idx="48">
                        <c:v>14.23</c:v>
                      </c:pt>
                      <c:pt idx="49">
                        <c:v>15.72</c:v>
                      </c:pt>
                      <c:pt idx="50">
                        <c:v>14.99</c:v>
                      </c:pt>
                      <c:pt idx="51">
                        <c:v>12.61</c:v>
                      </c:pt>
                      <c:pt idx="52">
                        <c:v>8.18</c:v>
                      </c:pt>
                      <c:pt idx="53">
                        <c:v>1.19</c:v>
                      </c:pt>
                      <c:pt idx="54">
                        <c:v>2.72</c:v>
                      </c:pt>
                      <c:pt idx="55">
                        <c:v>8.66</c:v>
                      </c:pt>
                      <c:pt idx="56">
                        <c:v>10.89</c:v>
                      </c:pt>
                      <c:pt idx="57">
                        <c:v>15.17</c:v>
                      </c:pt>
                      <c:pt idx="58">
                        <c:v>16.64</c:v>
                      </c:pt>
                      <c:pt idx="59">
                        <c:v>17.809999999999999</c:v>
                      </c:pt>
                      <c:pt idx="60">
                        <c:v>17.71</c:v>
                      </c:pt>
                      <c:pt idx="61">
                        <c:v>23.55</c:v>
                      </c:pt>
                      <c:pt idx="62">
                        <c:v>20.82</c:v>
                      </c:pt>
                      <c:pt idx="63">
                        <c:v>16.66</c:v>
                      </c:pt>
                      <c:pt idx="64">
                        <c:v>15.12</c:v>
                      </c:pt>
                      <c:pt idx="65">
                        <c:v>13.91</c:v>
                      </c:pt>
                      <c:pt idx="66">
                        <c:v>12.51</c:v>
                      </c:pt>
                      <c:pt idx="67">
                        <c:v>11.03</c:v>
                      </c:pt>
                      <c:pt idx="68">
                        <c:v>7.53</c:v>
                      </c:pt>
                      <c:pt idx="69">
                        <c:v>2.61</c:v>
                      </c:pt>
                      <c:pt idx="70">
                        <c:v>0.2</c:v>
                      </c:pt>
                      <c:pt idx="71">
                        <c:v>0.13</c:v>
                      </c:pt>
                      <c:pt idx="72">
                        <c:v>0.14000000000000001</c:v>
                      </c:pt>
                      <c:pt idx="73">
                        <c:v>0.14000000000000001</c:v>
                      </c:pt>
                      <c:pt idx="74">
                        <c:v>0.15</c:v>
                      </c:pt>
                      <c:pt idx="75">
                        <c:v>0.19</c:v>
                      </c:pt>
                      <c:pt idx="76">
                        <c:v>0.18</c:v>
                      </c:pt>
                      <c:pt idx="77">
                        <c:v>0.23</c:v>
                      </c:pt>
                      <c:pt idx="78">
                        <c:v>0.68</c:v>
                      </c:pt>
                      <c:pt idx="79">
                        <c:v>3.31</c:v>
                      </c:pt>
                      <c:pt idx="80">
                        <c:v>7.68</c:v>
                      </c:pt>
                      <c:pt idx="81">
                        <c:v>4.78</c:v>
                      </c:pt>
                      <c:pt idx="82">
                        <c:v>10.06</c:v>
                      </c:pt>
                      <c:pt idx="83">
                        <c:v>15.27</c:v>
                      </c:pt>
                      <c:pt idx="84">
                        <c:v>21.07</c:v>
                      </c:pt>
                      <c:pt idx="85">
                        <c:v>28.16</c:v>
                      </c:pt>
                      <c:pt idx="86">
                        <c:v>33.19</c:v>
                      </c:pt>
                      <c:pt idx="87">
                        <c:v>32.11</c:v>
                      </c:pt>
                      <c:pt idx="88">
                        <c:v>29.91</c:v>
                      </c:pt>
                      <c:pt idx="89">
                        <c:v>22.11</c:v>
                      </c:pt>
                      <c:pt idx="90">
                        <c:v>15.7</c:v>
                      </c:pt>
                      <c:pt idx="91">
                        <c:v>13.55</c:v>
                      </c:pt>
                      <c:pt idx="92">
                        <c:v>11.11</c:v>
                      </c:pt>
                      <c:pt idx="93">
                        <c:v>9.26</c:v>
                      </c:pt>
                      <c:pt idx="94">
                        <c:v>6.75</c:v>
                      </c:pt>
                      <c:pt idx="95">
                        <c:v>0.56999999999999995</c:v>
                      </c:pt>
                      <c:pt idx="96">
                        <c:v>0.08</c:v>
                      </c:pt>
                      <c:pt idx="97">
                        <c:v>0.14000000000000001</c:v>
                      </c:pt>
                      <c:pt idx="98">
                        <c:v>0.13</c:v>
                      </c:pt>
                      <c:pt idx="99">
                        <c:v>0.13</c:v>
                      </c:pt>
                      <c:pt idx="100">
                        <c:v>0.1</c:v>
                      </c:pt>
                      <c:pt idx="101">
                        <c:v>0.14000000000000001</c:v>
                      </c:pt>
                      <c:pt idx="102">
                        <c:v>0.41</c:v>
                      </c:pt>
                      <c:pt idx="103">
                        <c:v>3.81</c:v>
                      </c:pt>
                      <c:pt idx="104">
                        <c:v>15.28</c:v>
                      </c:pt>
                      <c:pt idx="105">
                        <c:v>30.68</c:v>
                      </c:pt>
                      <c:pt idx="106">
                        <c:v>39.14</c:v>
                      </c:pt>
                      <c:pt idx="107">
                        <c:v>49.02</c:v>
                      </c:pt>
                      <c:pt idx="108">
                        <c:v>51.06</c:v>
                      </c:pt>
                      <c:pt idx="109">
                        <c:v>53.3</c:v>
                      </c:pt>
                      <c:pt idx="110">
                        <c:v>49.05</c:v>
                      </c:pt>
                      <c:pt idx="111">
                        <c:v>51.92</c:v>
                      </c:pt>
                      <c:pt idx="112">
                        <c:v>43.76</c:v>
                      </c:pt>
                      <c:pt idx="113">
                        <c:v>28.89</c:v>
                      </c:pt>
                      <c:pt idx="114">
                        <c:v>30.39</c:v>
                      </c:pt>
                      <c:pt idx="115">
                        <c:v>33.299999999999997</c:v>
                      </c:pt>
                      <c:pt idx="116">
                        <c:v>28.09</c:v>
                      </c:pt>
                      <c:pt idx="117">
                        <c:v>15.44</c:v>
                      </c:pt>
                      <c:pt idx="118">
                        <c:v>18.03</c:v>
                      </c:pt>
                      <c:pt idx="119">
                        <c:v>36.840000000000003</c:v>
                      </c:pt>
                      <c:pt idx="120">
                        <c:v>35.01</c:v>
                      </c:pt>
                      <c:pt idx="121">
                        <c:v>25.28</c:v>
                      </c:pt>
                      <c:pt idx="122">
                        <c:v>26.06</c:v>
                      </c:pt>
                      <c:pt idx="123">
                        <c:v>17.89</c:v>
                      </c:pt>
                      <c:pt idx="124">
                        <c:v>12.53</c:v>
                      </c:pt>
                      <c:pt idx="125">
                        <c:v>5.77</c:v>
                      </c:pt>
                      <c:pt idx="126">
                        <c:v>5.12</c:v>
                      </c:pt>
                      <c:pt idx="127">
                        <c:v>11.79</c:v>
                      </c:pt>
                      <c:pt idx="128">
                        <c:v>22.01</c:v>
                      </c:pt>
                      <c:pt idx="129">
                        <c:v>20.49</c:v>
                      </c:pt>
                      <c:pt idx="130">
                        <c:v>16.02</c:v>
                      </c:pt>
                      <c:pt idx="131">
                        <c:v>13.49</c:v>
                      </c:pt>
                      <c:pt idx="132">
                        <c:v>13.59</c:v>
                      </c:pt>
                      <c:pt idx="133">
                        <c:v>14.4</c:v>
                      </c:pt>
                      <c:pt idx="134">
                        <c:v>14.42</c:v>
                      </c:pt>
                      <c:pt idx="135">
                        <c:v>9.68</c:v>
                      </c:pt>
                      <c:pt idx="136">
                        <c:v>7.06</c:v>
                      </c:pt>
                      <c:pt idx="137">
                        <c:v>4</c:v>
                      </c:pt>
                      <c:pt idx="138">
                        <c:v>1.92</c:v>
                      </c:pt>
                      <c:pt idx="139">
                        <c:v>1.26</c:v>
                      </c:pt>
                      <c:pt idx="140">
                        <c:v>2.2999999999999998</c:v>
                      </c:pt>
                      <c:pt idx="141">
                        <c:v>1.31</c:v>
                      </c:pt>
                      <c:pt idx="142">
                        <c:v>1.56</c:v>
                      </c:pt>
                      <c:pt idx="143">
                        <c:v>0.77</c:v>
                      </c:pt>
                      <c:pt idx="144">
                        <c:v>0.78</c:v>
                      </c:pt>
                      <c:pt idx="145">
                        <c:v>1.1599999999999999</c:v>
                      </c:pt>
                      <c:pt idx="146">
                        <c:v>0.38</c:v>
                      </c:pt>
                      <c:pt idx="147">
                        <c:v>0.06</c:v>
                      </c:pt>
                      <c:pt idx="148">
                        <c:v>0.06</c:v>
                      </c:pt>
                      <c:pt idx="149">
                        <c:v>0.11</c:v>
                      </c:pt>
                      <c:pt idx="150">
                        <c:v>0.79</c:v>
                      </c:pt>
                      <c:pt idx="151">
                        <c:v>2.2400000000000002</c:v>
                      </c:pt>
                      <c:pt idx="152">
                        <c:v>8.9700000000000006</c:v>
                      </c:pt>
                      <c:pt idx="153">
                        <c:v>11.15</c:v>
                      </c:pt>
                      <c:pt idx="154">
                        <c:v>13.44</c:v>
                      </c:pt>
                      <c:pt idx="155">
                        <c:v>14.21</c:v>
                      </c:pt>
                      <c:pt idx="156">
                        <c:v>14.21</c:v>
                      </c:pt>
                      <c:pt idx="157">
                        <c:v>14.79</c:v>
                      </c:pt>
                      <c:pt idx="158">
                        <c:v>14.58</c:v>
                      </c:pt>
                      <c:pt idx="159">
                        <c:v>16.21</c:v>
                      </c:pt>
                      <c:pt idx="160">
                        <c:v>17.579999999999998</c:v>
                      </c:pt>
                      <c:pt idx="161">
                        <c:v>17</c:v>
                      </c:pt>
                      <c:pt idx="162">
                        <c:v>16.690000000000001</c:v>
                      </c:pt>
                      <c:pt idx="163">
                        <c:v>15.44</c:v>
                      </c:pt>
                      <c:pt idx="164">
                        <c:v>14.44</c:v>
                      </c:pt>
                      <c:pt idx="165">
                        <c:v>13.24</c:v>
                      </c:pt>
                      <c:pt idx="166">
                        <c:v>11.3</c:v>
                      </c:pt>
                      <c:pt idx="167">
                        <c:v>9.23</c:v>
                      </c:pt>
                      <c:pt idx="168">
                        <c:v>6.45</c:v>
                      </c:pt>
                      <c:pt idx="169">
                        <c:v>5.67</c:v>
                      </c:pt>
                      <c:pt idx="170">
                        <c:v>3.39</c:v>
                      </c:pt>
                      <c:pt idx="171">
                        <c:v>2.1</c:v>
                      </c:pt>
                      <c:pt idx="172">
                        <c:v>3.65</c:v>
                      </c:pt>
                      <c:pt idx="173">
                        <c:v>1.91</c:v>
                      </c:pt>
                      <c:pt idx="174">
                        <c:v>0.84</c:v>
                      </c:pt>
                      <c:pt idx="175">
                        <c:v>2.0099999999999998</c:v>
                      </c:pt>
                      <c:pt idx="176">
                        <c:v>6.53</c:v>
                      </c:pt>
                      <c:pt idx="177">
                        <c:v>12.88</c:v>
                      </c:pt>
                      <c:pt idx="178">
                        <c:v>14.65</c:v>
                      </c:pt>
                      <c:pt idx="179">
                        <c:v>12.68</c:v>
                      </c:pt>
                      <c:pt idx="181">
                        <c:v>9.9</c:v>
                      </c:pt>
                      <c:pt idx="182">
                        <c:v>11.43</c:v>
                      </c:pt>
                      <c:pt idx="183">
                        <c:v>12.86</c:v>
                      </c:pt>
                      <c:pt idx="184">
                        <c:v>11.1</c:v>
                      </c:pt>
                      <c:pt idx="185">
                        <c:v>11.01</c:v>
                      </c:pt>
                      <c:pt idx="186">
                        <c:v>10.49</c:v>
                      </c:pt>
                      <c:pt idx="187">
                        <c:v>10.45</c:v>
                      </c:pt>
                      <c:pt idx="188">
                        <c:v>9.2100000000000009</c:v>
                      </c:pt>
                      <c:pt idx="189">
                        <c:v>7.65</c:v>
                      </c:pt>
                      <c:pt idx="190">
                        <c:v>7.57</c:v>
                      </c:pt>
                      <c:pt idx="191">
                        <c:v>9.08</c:v>
                      </c:pt>
                      <c:pt idx="192">
                        <c:v>4.3499999999999996</c:v>
                      </c:pt>
                      <c:pt idx="193">
                        <c:v>0.57999999999999996</c:v>
                      </c:pt>
                      <c:pt idx="194">
                        <c:v>0.2</c:v>
                      </c:pt>
                      <c:pt idx="195">
                        <c:v>0.21</c:v>
                      </c:pt>
                      <c:pt idx="196">
                        <c:v>0.19</c:v>
                      </c:pt>
                      <c:pt idx="197">
                        <c:v>0.19</c:v>
                      </c:pt>
                      <c:pt idx="198">
                        <c:v>0.6</c:v>
                      </c:pt>
                      <c:pt idx="199">
                        <c:v>1.36</c:v>
                      </c:pt>
                      <c:pt idx="200">
                        <c:v>3.49</c:v>
                      </c:pt>
                      <c:pt idx="201">
                        <c:v>7.58</c:v>
                      </c:pt>
                      <c:pt idx="202">
                        <c:v>8.93</c:v>
                      </c:pt>
                      <c:pt idx="203">
                        <c:v>12.13</c:v>
                      </c:pt>
                      <c:pt idx="204">
                        <c:v>15.59</c:v>
                      </c:pt>
                      <c:pt idx="205">
                        <c:v>16.23</c:v>
                      </c:pt>
                      <c:pt idx="206">
                        <c:v>17.88</c:v>
                      </c:pt>
                      <c:pt idx="207">
                        <c:v>16.5</c:v>
                      </c:pt>
                      <c:pt idx="208">
                        <c:v>14.72</c:v>
                      </c:pt>
                      <c:pt idx="209">
                        <c:v>11.75</c:v>
                      </c:pt>
                      <c:pt idx="210">
                        <c:v>9.0299999999999994</c:v>
                      </c:pt>
                      <c:pt idx="211">
                        <c:v>5.79</c:v>
                      </c:pt>
                      <c:pt idx="212">
                        <c:v>2.4</c:v>
                      </c:pt>
                      <c:pt idx="213">
                        <c:v>0.59</c:v>
                      </c:pt>
                      <c:pt idx="214">
                        <c:v>0.27</c:v>
                      </c:pt>
                      <c:pt idx="215">
                        <c:v>0.15</c:v>
                      </c:pt>
                      <c:pt idx="216">
                        <c:v>0.27</c:v>
                      </c:pt>
                      <c:pt idx="217">
                        <c:v>1.43</c:v>
                      </c:pt>
                      <c:pt idx="218">
                        <c:v>2.44</c:v>
                      </c:pt>
                      <c:pt idx="219">
                        <c:v>0.63</c:v>
                      </c:pt>
                      <c:pt idx="220">
                        <c:v>0.14000000000000001</c:v>
                      </c:pt>
                      <c:pt idx="221">
                        <c:v>0.21</c:v>
                      </c:pt>
                      <c:pt idx="222">
                        <c:v>0.31</c:v>
                      </c:pt>
                      <c:pt idx="223">
                        <c:v>0.77</c:v>
                      </c:pt>
                      <c:pt idx="224">
                        <c:v>3.94</c:v>
                      </c:pt>
                      <c:pt idx="225">
                        <c:v>7.01</c:v>
                      </c:pt>
                      <c:pt idx="226">
                        <c:v>11.88</c:v>
                      </c:pt>
                      <c:pt idx="227">
                        <c:v>17.66</c:v>
                      </c:pt>
                      <c:pt idx="228">
                        <c:v>22.35</c:v>
                      </c:pt>
                      <c:pt idx="229">
                        <c:v>31.01</c:v>
                      </c:pt>
                      <c:pt idx="230">
                        <c:v>25.84</c:v>
                      </c:pt>
                      <c:pt idx="231">
                        <c:v>21</c:v>
                      </c:pt>
                      <c:pt idx="232">
                        <c:v>24</c:v>
                      </c:pt>
                      <c:pt idx="233">
                        <c:v>18.350000000000001</c:v>
                      </c:pt>
                      <c:pt idx="234">
                        <c:v>9.16</c:v>
                      </c:pt>
                      <c:pt idx="235">
                        <c:v>8.56</c:v>
                      </c:pt>
                      <c:pt idx="236">
                        <c:v>7.78</c:v>
                      </c:pt>
                      <c:pt idx="237">
                        <c:v>9.3699999999999992</c:v>
                      </c:pt>
                      <c:pt idx="238">
                        <c:v>9.42</c:v>
                      </c:pt>
                      <c:pt idx="239">
                        <c:v>6.59</c:v>
                      </c:pt>
                      <c:pt idx="240">
                        <c:v>3.33</c:v>
                      </c:pt>
                      <c:pt idx="241">
                        <c:v>0.7</c:v>
                      </c:pt>
                      <c:pt idx="242">
                        <c:v>0.17</c:v>
                      </c:pt>
                      <c:pt idx="243">
                        <c:v>0.24</c:v>
                      </c:pt>
                      <c:pt idx="244">
                        <c:v>0.13</c:v>
                      </c:pt>
                      <c:pt idx="245">
                        <c:v>0.09</c:v>
                      </c:pt>
                      <c:pt idx="246">
                        <c:v>0.47</c:v>
                      </c:pt>
                      <c:pt idx="247">
                        <c:v>2.5499999999999998</c:v>
                      </c:pt>
                      <c:pt idx="248">
                        <c:v>5.25</c:v>
                      </c:pt>
                      <c:pt idx="249">
                        <c:v>11.66</c:v>
                      </c:pt>
                      <c:pt idx="250">
                        <c:v>26.89</c:v>
                      </c:pt>
                      <c:pt idx="251">
                        <c:v>37.25</c:v>
                      </c:pt>
                      <c:pt idx="252">
                        <c:v>41.83</c:v>
                      </c:pt>
                      <c:pt idx="253">
                        <c:v>40.840000000000003</c:v>
                      </c:pt>
                      <c:pt idx="254">
                        <c:v>41.76</c:v>
                      </c:pt>
                      <c:pt idx="255">
                        <c:v>36.42</c:v>
                      </c:pt>
                      <c:pt idx="256">
                        <c:v>37.659999999999997</c:v>
                      </c:pt>
                      <c:pt idx="257">
                        <c:v>31.18</c:v>
                      </c:pt>
                      <c:pt idx="258">
                        <c:v>32.79</c:v>
                      </c:pt>
                      <c:pt idx="259">
                        <c:v>29.86</c:v>
                      </c:pt>
                      <c:pt idx="260">
                        <c:v>23.81</c:v>
                      </c:pt>
                      <c:pt idx="261">
                        <c:v>11.44</c:v>
                      </c:pt>
                      <c:pt idx="262">
                        <c:v>3.78</c:v>
                      </c:pt>
                      <c:pt idx="263">
                        <c:v>0.39</c:v>
                      </c:pt>
                      <c:pt idx="264">
                        <c:v>0</c:v>
                      </c:pt>
                      <c:pt idx="265">
                        <c:v>2.5499999999999998</c:v>
                      </c:pt>
                      <c:pt idx="266">
                        <c:v>17.48</c:v>
                      </c:pt>
                      <c:pt idx="267">
                        <c:v>18.489999999999998</c:v>
                      </c:pt>
                      <c:pt idx="268">
                        <c:v>14.39</c:v>
                      </c:pt>
                      <c:pt idx="269">
                        <c:v>9.91</c:v>
                      </c:pt>
                      <c:pt idx="270">
                        <c:v>8.1300000000000008</c:v>
                      </c:pt>
                      <c:pt idx="271">
                        <c:v>7.63</c:v>
                      </c:pt>
                      <c:pt idx="272">
                        <c:v>10.93</c:v>
                      </c:pt>
                      <c:pt idx="273">
                        <c:v>15.63</c:v>
                      </c:pt>
                      <c:pt idx="274">
                        <c:v>16.010000000000002</c:v>
                      </c:pt>
                      <c:pt idx="275">
                        <c:v>18.18</c:v>
                      </c:pt>
                      <c:pt idx="276">
                        <c:v>22.54</c:v>
                      </c:pt>
                      <c:pt idx="277">
                        <c:v>27.22</c:v>
                      </c:pt>
                      <c:pt idx="278">
                        <c:v>32.299999999999997</c:v>
                      </c:pt>
                      <c:pt idx="279">
                        <c:v>32.770000000000003</c:v>
                      </c:pt>
                      <c:pt idx="280">
                        <c:v>27.84</c:v>
                      </c:pt>
                      <c:pt idx="281">
                        <c:v>21.28</c:v>
                      </c:pt>
                      <c:pt idx="282">
                        <c:v>17.100000000000001</c:v>
                      </c:pt>
                      <c:pt idx="283">
                        <c:v>15.31</c:v>
                      </c:pt>
                      <c:pt idx="284">
                        <c:v>13.72</c:v>
                      </c:pt>
                      <c:pt idx="285">
                        <c:v>18.579999999999998</c:v>
                      </c:pt>
                      <c:pt idx="286">
                        <c:v>15.54</c:v>
                      </c:pt>
                      <c:pt idx="287">
                        <c:v>14.14</c:v>
                      </c:pt>
                      <c:pt idx="288">
                        <c:v>13.95</c:v>
                      </c:pt>
                      <c:pt idx="289">
                        <c:v>10.08</c:v>
                      </c:pt>
                      <c:pt idx="290">
                        <c:v>3.69</c:v>
                      </c:pt>
                      <c:pt idx="291">
                        <c:v>0.42</c:v>
                      </c:pt>
                      <c:pt idx="292">
                        <c:v>0.12</c:v>
                      </c:pt>
                      <c:pt idx="293">
                        <c:v>0.14000000000000001</c:v>
                      </c:pt>
                      <c:pt idx="294">
                        <c:v>0.7</c:v>
                      </c:pt>
                      <c:pt idx="295">
                        <c:v>5.68</c:v>
                      </c:pt>
                      <c:pt idx="296">
                        <c:v>13.11</c:v>
                      </c:pt>
                      <c:pt idx="297">
                        <c:v>20.09</c:v>
                      </c:pt>
                      <c:pt idx="298">
                        <c:v>24.97</c:v>
                      </c:pt>
                      <c:pt idx="299">
                        <c:v>25.68</c:v>
                      </c:pt>
                      <c:pt idx="300">
                        <c:v>26.87</c:v>
                      </c:pt>
                      <c:pt idx="301">
                        <c:v>28.48</c:v>
                      </c:pt>
                      <c:pt idx="302">
                        <c:v>34.9</c:v>
                      </c:pt>
                      <c:pt idx="303">
                        <c:v>34.43</c:v>
                      </c:pt>
                      <c:pt idx="304">
                        <c:v>35.590000000000003</c:v>
                      </c:pt>
                      <c:pt idx="305">
                        <c:v>33.83</c:v>
                      </c:pt>
                      <c:pt idx="306">
                        <c:v>28.09</c:v>
                      </c:pt>
                      <c:pt idx="307">
                        <c:v>18.09</c:v>
                      </c:pt>
                      <c:pt idx="308">
                        <c:v>6.39</c:v>
                      </c:pt>
                      <c:pt idx="309">
                        <c:v>11.47</c:v>
                      </c:pt>
                      <c:pt idx="310">
                        <c:v>4.3899999999999997</c:v>
                      </c:pt>
                      <c:pt idx="311">
                        <c:v>0.71</c:v>
                      </c:pt>
                      <c:pt idx="312">
                        <c:v>1.1100000000000001</c:v>
                      </c:pt>
                      <c:pt idx="313">
                        <c:v>0.89</c:v>
                      </c:pt>
                      <c:pt idx="314">
                        <c:v>2.83</c:v>
                      </c:pt>
                      <c:pt idx="315">
                        <c:v>1.0900000000000001</c:v>
                      </c:pt>
                      <c:pt idx="316">
                        <c:v>2.87</c:v>
                      </c:pt>
                      <c:pt idx="317">
                        <c:v>3.47</c:v>
                      </c:pt>
                      <c:pt idx="318">
                        <c:v>3.68</c:v>
                      </c:pt>
                      <c:pt idx="319">
                        <c:v>18.61</c:v>
                      </c:pt>
                      <c:pt idx="320">
                        <c:v>26.58</c:v>
                      </c:pt>
                      <c:pt idx="321">
                        <c:v>31.46</c:v>
                      </c:pt>
                      <c:pt idx="322">
                        <c:v>29.84</c:v>
                      </c:pt>
                      <c:pt idx="323">
                        <c:v>32.380000000000003</c:v>
                      </c:pt>
                      <c:pt idx="324">
                        <c:v>44.13</c:v>
                      </c:pt>
                      <c:pt idx="325">
                        <c:v>49.17</c:v>
                      </c:pt>
                      <c:pt idx="326">
                        <c:v>53.98</c:v>
                      </c:pt>
                      <c:pt idx="327">
                        <c:v>60.16</c:v>
                      </c:pt>
                      <c:pt idx="328">
                        <c:v>60.71</c:v>
                      </c:pt>
                      <c:pt idx="329">
                        <c:v>45.4</c:v>
                      </c:pt>
                      <c:pt idx="330">
                        <c:v>38.5</c:v>
                      </c:pt>
                      <c:pt idx="331">
                        <c:v>29.92</c:v>
                      </c:pt>
                      <c:pt idx="332">
                        <c:v>20.07</c:v>
                      </c:pt>
                      <c:pt idx="333">
                        <c:v>8.41</c:v>
                      </c:pt>
                      <c:pt idx="334">
                        <c:v>13.92</c:v>
                      </c:pt>
                      <c:pt idx="335">
                        <c:v>12.79</c:v>
                      </c:pt>
                    </c:numCache>
                  </c:numRef>
                </c:xVal>
                <c:yVal>
                  <c:numRef>
                    <c:extLst>
                      <c:ext uri="{02D57815-91ED-43cb-92C2-25804820EDAC}">
                        <c15:formulaRef>
                          <c15:sqref>'Example ozone analysis'!$G$2:$G$337</c15:sqref>
                        </c15:formulaRef>
                      </c:ext>
                    </c:extLst>
                    <c:numCache>
                      <c:formatCode>General</c:formatCode>
                      <c:ptCount val="336"/>
                      <c:pt idx="0">
                        <c:v>0.64</c:v>
                      </c:pt>
                      <c:pt idx="1">
                        <c:v>1.53</c:v>
                      </c:pt>
                      <c:pt idx="2">
                        <c:v>1.26</c:v>
                      </c:pt>
                      <c:pt idx="3">
                        <c:v>1.0900000000000001</c:v>
                      </c:pt>
                      <c:pt idx="4">
                        <c:v>1.1000000000000001</c:v>
                      </c:pt>
                      <c:pt idx="5">
                        <c:v>1.46</c:v>
                      </c:pt>
                      <c:pt idx="6">
                        <c:v>1.59</c:v>
                      </c:pt>
                      <c:pt idx="7">
                        <c:v>1.21</c:v>
                      </c:pt>
                      <c:pt idx="8">
                        <c:v>1.27</c:v>
                      </c:pt>
                      <c:pt idx="9">
                        <c:v>0.61</c:v>
                      </c:pt>
                      <c:pt idx="10">
                        <c:v>0.49</c:v>
                      </c:pt>
                      <c:pt idx="11">
                        <c:v>0.72</c:v>
                      </c:pt>
                      <c:pt idx="12">
                        <c:v>0.94</c:v>
                      </c:pt>
                      <c:pt idx="13">
                        <c:v>1.69</c:v>
                      </c:pt>
                      <c:pt idx="14">
                        <c:v>2.52</c:v>
                      </c:pt>
                      <c:pt idx="15">
                        <c:v>2.54</c:v>
                      </c:pt>
                      <c:pt idx="16">
                        <c:v>2.7</c:v>
                      </c:pt>
                      <c:pt idx="17">
                        <c:v>2.29</c:v>
                      </c:pt>
                      <c:pt idx="18">
                        <c:v>1.48</c:v>
                      </c:pt>
                      <c:pt idx="19">
                        <c:v>1.28</c:v>
                      </c:pt>
                      <c:pt idx="20">
                        <c:v>1.45</c:v>
                      </c:pt>
                      <c:pt idx="21">
                        <c:v>0.84</c:v>
                      </c:pt>
                      <c:pt idx="22">
                        <c:v>0.15</c:v>
                      </c:pt>
                      <c:pt idx="23">
                        <c:v>0.23</c:v>
                      </c:pt>
                      <c:pt idx="24">
                        <c:v>0.71</c:v>
                      </c:pt>
                      <c:pt idx="25">
                        <c:v>0.54</c:v>
                      </c:pt>
                      <c:pt idx="26">
                        <c:v>0.2</c:v>
                      </c:pt>
                      <c:pt idx="27">
                        <c:v>0.31</c:v>
                      </c:pt>
                      <c:pt idx="28">
                        <c:v>0.3</c:v>
                      </c:pt>
                      <c:pt idx="29">
                        <c:v>0.12</c:v>
                      </c:pt>
                      <c:pt idx="30">
                        <c:v>0.22</c:v>
                      </c:pt>
                      <c:pt idx="31">
                        <c:v>1</c:v>
                      </c:pt>
                      <c:pt idx="32">
                        <c:v>1.1399999999999999</c:v>
                      </c:pt>
                      <c:pt idx="33">
                        <c:v>1.05</c:v>
                      </c:pt>
                      <c:pt idx="34">
                        <c:v>1.35</c:v>
                      </c:pt>
                      <c:pt idx="35">
                        <c:v>2.4900000000000002</c:v>
                      </c:pt>
                      <c:pt idx="36">
                        <c:v>3.37</c:v>
                      </c:pt>
                      <c:pt idx="37">
                        <c:v>3.27</c:v>
                      </c:pt>
                      <c:pt idx="38">
                        <c:v>3.16</c:v>
                      </c:pt>
                      <c:pt idx="39">
                        <c:v>2.73</c:v>
                      </c:pt>
                      <c:pt idx="40">
                        <c:v>3.1</c:v>
                      </c:pt>
                      <c:pt idx="41">
                        <c:v>3</c:v>
                      </c:pt>
                      <c:pt idx="42">
                        <c:v>2.1</c:v>
                      </c:pt>
                      <c:pt idx="43">
                        <c:v>1.81</c:v>
                      </c:pt>
                      <c:pt idx="44">
                        <c:v>1.44</c:v>
                      </c:pt>
                      <c:pt idx="45">
                        <c:v>1.61</c:v>
                      </c:pt>
                      <c:pt idx="46">
                        <c:v>1.77</c:v>
                      </c:pt>
                      <c:pt idx="47">
                        <c:v>1.22</c:v>
                      </c:pt>
                      <c:pt idx="48">
                        <c:v>1.43</c:v>
                      </c:pt>
                      <c:pt idx="49">
                        <c:v>1.36</c:v>
                      </c:pt>
                      <c:pt idx="50">
                        <c:v>0.99</c:v>
                      </c:pt>
                      <c:pt idx="51">
                        <c:v>0.93</c:v>
                      </c:pt>
                      <c:pt idx="52">
                        <c:v>0.66</c:v>
                      </c:pt>
                      <c:pt idx="53">
                        <c:v>0.18</c:v>
                      </c:pt>
                      <c:pt idx="54">
                        <c:v>0.67</c:v>
                      </c:pt>
                      <c:pt idx="55">
                        <c:v>1.1000000000000001</c:v>
                      </c:pt>
                      <c:pt idx="56">
                        <c:v>1.6</c:v>
                      </c:pt>
                      <c:pt idx="57">
                        <c:v>1.41</c:v>
                      </c:pt>
                      <c:pt idx="58">
                        <c:v>1.55</c:v>
                      </c:pt>
                      <c:pt idx="59">
                        <c:v>1.64</c:v>
                      </c:pt>
                      <c:pt idx="60">
                        <c:v>0.27</c:v>
                      </c:pt>
                      <c:pt idx="61">
                        <c:v>1.99</c:v>
                      </c:pt>
                      <c:pt idx="62">
                        <c:v>2.83</c:v>
                      </c:pt>
                      <c:pt idx="63">
                        <c:v>2.91</c:v>
                      </c:pt>
                      <c:pt idx="64">
                        <c:v>3</c:v>
                      </c:pt>
                      <c:pt idx="65">
                        <c:v>2.79</c:v>
                      </c:pt>
                      <c:pt idx="66">
                        <c:v>2.4900000000000002</c:v>
                      </c:pt>
                      <c:pt idx="67">
                        <c:v>1.29</c:v>
                      </c:pt>
                      <c:pt idx="68">
                        <c:v>0.55000000000000004</c:v>
                      </c:pt>
                      <c:pt idx="69">
                        <c:v>0.14000000000000001</c:v>
                      </c:pt>
                      <c:pt idx="70">
                        <c:v>0.3</c:v>
                      </c:pt>
                      <c:pt idx="71">
                        <c:v>0.37</c:v>
                      </c:pt>
                      <c:pt idx="72">
                        <c:v>0.5</c:v>
                      </c:pt>
                      <c:pt idx="73">
                        <c:v>0.57999999999999996</c:v>
                      </c:pt>
                      <c:pt idx="74">
                        <c:v>0.22</c:v>
                      </c:pt>
                      <c:pt idx="75">
                        <c:v>0.12</c:v>
                      </c:pt>
                      <c:pt idx="76">
                        <c:v>0.28000000000000003</c:v>
                      </c:pt>
                      <c:pt idx="77">
                        <c:v>0.13</c:v>
                      </c:pt>
                      <c:pt idx="78">
                        <c:v>0.41</c:v>
                      </c:pt>
                      <c:pt idx="79">
                        <c:v>0.26</c:v>
                      </c:pt>
                      <c:pt idx="80">
                        <c:v>0.6</c:v>
                      </c:pt>
                      <c:pt idx="81">
                        <c:v>0.57999999999999996</c:v>
                      </c:pt>
                      <c:pt idx="82">
                        <c:v>0.27</c:v>
                      </c:pt>
                      <c:pt idx="83">
                        <c:v>0.78</c:v>
                      </c:pt>
                      <c:pt idx="84">
                        <c:v>0.53</c:v>
                      </c:pt>
                      <c:pt idx="85">
                        <c:v>1.96</c:v>
                      </c:pt>
                      <c:pt idx="86">
                        <c:v>2.69</c:v>
                      </c:pt>
                      <c:pt idx="87">
                        <c:v>2.87</c:v>
                      </c:pt>
                      <c:pt idx="88">
                        <c:v>2.96</c:v>
                      </c:pt>
                      <c:pt idx="89">
                        <c:v>2.78</c:v>
                      </c:pt>
                      <c:pt idx="90">
                        <c:v>2.0099999999999998</c:v>
                      </c:pt>
                      <c:pt idx="91">
                        <c:v>0.73</c:v>
                      </c:pt>
                      <c:pt idx="92">
                        <c:v>0.27</c:v>
                      </c:pt>
                      <c:pt idx="93">
                        <c:v>0.31</c:v>
                      </c:pt>
                      <c:pt idx="94">
                        <c:v>0.21</c:v>
                      </c:pt>
                      <c:pt idx="95">
                        <c:v>0.28000000000000003</c:v>
                      </c:pt>
                      <c:pt idx="96">
                        <c:v>0.2</c:v>
                      </c:pt>
                      <c:pt idx="97">
                        <c:v>0.18</c:v>
                      </c:pt>
                      <c:pt idx="98">
                        <c:v>0.2</c:v>
                      </c:pt>
                      <c:pt idx="99">
                        <c:v>0.12</c:v>
                      </c:pt>
                      <c:pt idx="100">
                        <c:v>0.24</c:v>
                      </c:pt>
                      <c:pt idx="101">
                        <c:v>0.11</c:v>
                      </c:pt>
                      <c:pt idx="102">
                        <c:v>7.0000000000000007E-2</c:v>
                      </c:pt>
                      <c:pt idx="103">
                        <c:v>0.71</c:v>
                      </c:pt>
                      <c:pt idx="104">
                        <c:v>1.99</c:v>
                      </c:pt>
                      <c:pt idx="105">
                        <c:v>2.4500000000000002</c:v>
                      </c:pt>
                      <c:pt idx="106">
                        <c:v>1.59</c:v>
                      </c:pt>
                      <c:pt idx="107">
                        <c:v>1.29</c:v>
                      </c:pt>
                      <c:pt idx="108">
                        <c:v>1.35</c:v>
                      </c:pt>
                      <c:pt idx="109">
                        <c:v>1.41</c:v>
                      </c:pt>
                      <c:pt idx="110">
                        <c:v>1.25</c:v>
                      </c:pt>
                      <c:pt idx="111">
                        <c:v>1.29</c:v>
                      </c:pt>
                      <c:pt idx="112">
                        <c:v>2.4500000000000002</c:v>
                      </c:pt>
                      <c:pt idx="113">
                        <c:v>2.31</c:v>
                      </c:pt>
                      <c:pt idx="114">
                        <c:v>1.71</c:v>
                      </c:pt>
                      <c:pt idx="115">
                        <c:v>0.41</c:v>
                      </c:pt>
                      <c:pt idx="116">
                        <c:v>0.47</c:v>
                      </c:pt>
                      <c:pt idx="117">
                        <c:v>0.34</c:v>
                      </c:pt>
                      <c:pt idx="118">
                        <c:v>1.95</c:v>
                      </c:pt>
                      <c:pt idx="119">
                        <c:v>1.08</c:v>
                      </c:pt>
                      <c:pt idx="120">
                        <c:v>0.7</c:v>
                      </c:pt>
                      <c:pt idx="121">
                        <c:v>1.22</c:v>
                      </c:pt>
                      <c:pt idx="122">
                        <c:v>0.28000000000000003</c:v>
                      </c:pt>
                      <c:pt idx="123">
                        <c:v>0.26</c:v>
                      </c:pt>
                      <c:pt idx="124">
                        <c:v>0.68</c:v>
                      </c:pt>
                      <c:pt idx="125">
                        <c:v>0.64</c:v>
                      </c:pt>
                      <c:pt idx="126">
                        <c:v>0.34</c:v>
                      </c:pt>
                      <c:pt idx="127">
                        <c:v>1.63</c:v>
                      </c:pt>
                      <c:pt idx="128">
                        <c:v>2.5099999999999998</c:v>
                      </c:pt>
                      <c:pt idx="129">
                        <c:v>2.5099999999999998</c:v>
                      </c:pt>
                      <c:pt idx="130">
                        <c:v>2.48</c:v>
                      </c:pt>
                      <c:pt idx="131">
                        <c:v>2.0299999999999998</c:v>
                      </c:pt>
                      <c:pt idx="132">
                        <c:v>2.12</c:v>
                      </c:pt>
                      <c:pt idx="133">
                        <c:v>2.12</c:v>
                      </c:pt>
                      <c:pt idx="134">
                        <c:v>1.64</c:v>
                      </c:pt>
                      <c:pt idx="135">
                        <c:v>0.76</c:v>
                      </c:pt>
                      <c:pt idx="136">
                        <c:v>0.64</c:v>
                      </c:pt>
                      <c:pt idx="137">
                        <c:v>0.51</c:v>
                      </c:pt>
                      <c:pt idx="138">
                        <c:v>0.32</c:v>
                      </c:pt>
                      <c:pt idx="139">
                        <c:v>0.56000000000000005</c:v>
                      </c:pt>
                      <c:pt idx="140">
                        <c:v>0.65</c:v>
                      </c:pt>
                      <c:pt idx="141">
                        <c:v>0.78</c:v>
                      </c:pt>
                      <c:pt idx="142">
                        <c:v>0.5</c:v>
                      </c:pt>
                      <c:pt idx="143">
                        <c:v>0.63</c:v>
                      </c:pt>
                      <c:pt idx="144">
                        <c:v>0.56999999999999995</c:v>
                      </c:pt>
                      <c:pt idx="145">
                        <c:v>0.37</c:v>
                      </c:pt>
                      <c:pt idx="146">
                        <c:v>0.09</c:v>
                      </c:pt>
                      <c:pt idx="147">
                        <c:v>0.37</c:v>
                      </c:pt>
                      <c:pt idx="148">
                        <c:v>0.27</c:v>
                      </c:pt>
                      <c:pt idx="149">
                        <c:v>0.39</c:v>
                      </c:pt>
                      <c:pt idx="150">
                        <c:v>0.54</c:v>
                      </c:pt>
                      <c:pt idx="151">
                        <c:v>0.19</c:v>
                      </c:pt>
                      <c:pt idx="152">
                        <c:v>1.23</c:v>
                      </c:pt>
                      <c:pt idx="153">
                        <c:v>1.1599999999999999</c:v>
                      </c:pt>
                      <c:pt idx="154">
                        <c:v>1.92</c:v>
                      </c:pt>
                      <c:pt idx="155">
                        <c:v>1.89</c:v>
                      </c:pt>
                      <c:pt idx="156">
                        <c:v>2.1</c:v>
                      </c:pt>
                      <c:pt idx="157">
                        <c:v>2.04</c:v>
                      </c:pt>
                      <c:pt idx="158">
                        <c:v>2.1800000000000002</c:v>
                      </c:pt>
                      <c:pt idx="159">
                        <c:v>2.67</c:v>
                      </c:pt>
                      <c:pt idx="160">
                        <c:v>2.85</c:v>
                      </c:pt>
                      <c:pt idx="161">
                        <c:v>2.34</c:v>
                      </c:pt>
                      <c:pt idx="162">
                        <c:v>1.78</c:v>
                      </c:pt>
                      <c:pt idx="163">
                        <c:v>2.5</c:v>
                      </c:pt>
                      <c:pt idx="164">
                        <c:v>1.65</c:v>
                      </c:pt>
                      <c:pt idx="165">
                        <c:v>1.72</c:v>
                      </c:pt>
                      <c:pt idx="166">
                        <c:v>1.47</c:v>
                      </c:pt>
                      <c:pt idx="167">
                        <c:v>1.24</c:v>
                      </c:pt>
                      <c:pt idx="168">
                        <c:v>1.08</c:v>
                      </c:pt>
                      <c:pt idx="169">
                        <c:v>0.79</c:v>
                      </c:pt>
                      <c:pt idx="170">
                        <c:v>0.5</c:v>
                      </c:pt>
                      <c:pt idx="171">
                        <c:v>0.56999999999999995</c:v>
                      </c:pt>
                      <c:pt idx="172">
                        <c:v>0.99</c:v>
                      </c:pt>
                      <c:pt idx="173">
                        <c:v>0.7</c:v>
                      </c:pt>
                      <c:pt idx="174">
                        <c:v>0.64</c:v>
                      </c:pt>
                      <c:pt idx="175">
                        <c:v>0.71</c:v>
                      </c:pt>
                      <c:pt idx="176">
                        <c:v>1.57</c:v>
                      </c:pt>
                      <c:pt idx="177">
                        <c:v>2.33</c:v>
                      </c:pt>
                      <c:pt idx="178">
                        <c:v>2.58</c:v>
                      </c:pt>
                      <c:pt idx="179">
                        <c:v>1.93</c:v>
                      </c:pt>
                      <c:pt idx="181">
                        <c:v>2.4700000000000002</c:v>
                      </c:pt>
                      <c:pt idx="182">
                        <c:v>2.4</c:v>
                      </c:pt>
                      <c:pt idx="183">
                        <c:v>3.01</c:v>
                      </c:pt>
                      <c:pt idx="184">
                        <c:v>2.97</c:v>
                      </c:pt>
                      <c:pt idx="185">
                        <c:v>2.63</c:v>
                      </c:pt>
                      <c:pt idx="186">
                        <c:v>2.8</c:v>
                      </c:pt>
                      <c:pt idx="187">
                        <c:v>2.58</c:v>
                      </c:pt>
                      <c:pt idx="188">
                        <c:v>1.85</c:v>
                      </c:pt>
                      <c:pt idx="189">
                        <c:v>1.53</c:v>
                      </c:pt>
                      <c:pt idx="190">
                        <c:v>1.48</c:v>
                      </c:pt>
                      <c:pt idx="191">
                        <c:v>0.84</c:v>
                      </c:pt>
                      <c:pt idx="192">
                        <c:v>0.28999999999999998</c:v>
                      </c:pt>
                      <c:pt idx="193">
                        <c:v>0.41</c:v>
                      </c:pt>
                      <c:pt idx="194">
                        <c:v>0.37</c:v>
                      </c:pt>
                      <c:pt idx="195">
                        <c:v>0.22</c:v>
                      </c:pt>
                      <c:pt idx="196">
                        <c:v>0.48</c:v>
                      </c:pt>
                      <c:pt idx="197">
                        <c:v>0.17</c:v>
                      </c:pt>
                      <c:pt idx="198">
                        <c:v>0.47</c:v>
                      </c:pt>
                      <c:pt idx="199">
                        <c:v>1.02</c:v>
                      </c:pt>
                      <c:pt idx="200">
                        <c:v>0.8</c:v>
                      </c:pt>
                      <c:pt idx="201">
                        <c:v>1.54</c:v>
                      </c:pt>
                      <c:pt idx="202">
                        <c:v>1.77</c:v>
                      </c:pt>
                      <c:pt idx="203">
                        <c:v>1.96</c:v>
                      </c:pt>
                      <c:pt idx="204">
                        <c:v>2.2200000000000002</c:v>
                      </c:pt>
                      <c:pt idx="205">
                        <c:v>2.85</c:v>
                      </c:pt>
                      <c:pt idx="206">
                        <c:v>2.62</c:v>
                      </c:pt>
                      <c:pt idx="207">
                        <c:v>2.35</c:v>
                      </c:pt>
                      <c:pt idx="208">
                        <c:v>2.42</c:v>
                      </c:pt>
                      <c:pt idx="209">
                        <c:v>1.98</c:v>
                      </c:pt>
                      <c:pt idx="210">
                        <c:v>1.97</c:v>
                      </c:pt>
                      <c:pt idx="211">
                        <c:v>1.7</c:v>
                      </c:pt>
                      <c:pt idx="212">
                        <c:v>0.89</c:v>
                      </c:pt>
                      <c:pt idx="213">
                        <c:v>0.55000000000000004</c:v>
                      </c:pt>
                      <c:pt idx="214">
                        <c:v>0.42</c:v>
                      </c:pt>
                      <c:pt idx="215">
                        <c:v>0.17</c:v>
                      </c:pt>
                      <c:pt idx="216">
                        <c:v>0.15</c:v>
                      </c:pt>
                      <c:pt idx="217">
                        <c:v>0.53</c:v>
                      </c:pt>
                      <c:pt idx="218">
                        <c:v>0.37</c:v>
                      </c:pt>
                      <c:pt idx="219">
                        <c:v>0.09</c:v>
                      </c:pt>
                      <c:pt idx="220">
                        <c:v>0.27</c:v>
                      </c:pt>
                      <c:pt idx="221">
                        <c:v>0.52</c:v>
                      </c:pt>
                      <c:pt idx="222">
                        <c:v>0.46</c:v>
                      </c:pt>
                      <c:pt idx="223">
                        <c:v>0.33</c:v>
                      </c:pt>
                      <c:pt idx="224">
                        <c:v>0.67</c:v>
                      </c:pt>
                      <c:pt idx="225">
                        <c:v>0.42</c:v>
                      </c:pt>
                      <c:pt idx="226">
                        <c:v>0.37</c:v>
                      </c:pt>
                      <c:pt idx="227">
                        <c:v>0.42</c:v>
                      </c:pt>
                      <c:pt idx="228">
                        <c:v>0.47</c:v>
                      </c:pt>
                      <c:pt idx="229">
                        <c:v>0.78</c:v>
                      </c:pt>
                      <c:pt idx="230">
                        <c:v>1.84</c:v>
                      </c:pt>
                      <c:pt idx="231">
                        <c:v>1.75</c:v>
                      </c:pt>
                      <c:pt idx="232">
                        <c:v>1.68</c:v>
                      </c:pt>
                      <c:pt idx="233">
                        <c:v>1.05</c:v>
                      </c:pt>
                      <c:pt idx="234">
                        <c:v>1.63</c:v>
                      </c:pt>
                      <c:pt idx="235">
                        <c:v>1.36</c:v>
                      </c:pt>
                      <c:pt idx="236">
                        <c:v>0.26</c:v>
                      </c:pt>
                      <c:pt idx="237">
                        <c:v>0.67</c:v>
                      </c:pt>
                      <c:pt idx="238">
                        <c:v>0.68</c:v>
                      </c:pt>
                      <c:pt idx="239">
                        <c:v>0.24</c:v>
                      </c:pt>
                      <c:pt idx="240">
                        <c:v>0.09</c:v>
                      </c:pt>
                      <c:pt idx="241">
                        <c:v>0.17</c:v>
                      </c:pt>
                      <c:pt idx="242">
                        <c:v>0.24</c:v>
                      </c:pt>
                      <c:pt idx="243">
                        <c:v>0.28999999999999998</c:v>
                      </c:pt>
                      <c:pt idx="244">
                        <c:v>0.4</c:v>
                      </c:pt>
                      <c:pt idx="245">
                        <c:v>0.14000000000000001</c:v>
                      </c:pt>
                      <c:pt idx="246">
                        <c:v>0.57999999999999996</c:v>
                      </c:pt>
                      <c:pt idx="247">
                        <c:v>1.32</c:v>
                      </c:pt>
                      <c:pt idx="248">
                        <c:v>1.51</c:v>
                      </c:pt>
                      <c:pt idx="249">
                        <c:v>0.66</c:v>
                      </c:pt>
                      <c:pt idx="250">
                        <c:v>1.03</c:v>
                      </c:pt>
                      <c:pt idx="251">
                        <c:v>0.74</c:v>
                      </c:pt>
                      <c:pt idx="252">
                        <c:v>0.99</c:v>
                      </c:pt>
                      <c:pt idx="253">
                        <c:v>0.92</c:v>
                      </c:pt>
                      <c:pt idx="254">
                        <c:v>0.66</c:v>
                      </c:pt>
                      <c:pt idx="255">
                        <c:v>1.62</c:v>
                      </c:pt>
                      <c:pt idx="256">
                        <c:v>1.45</c:v>
                      </c:pt>
                      <c:pt idx="257">
                        <c:v>1.07</c:v>
                      </c:pt>
                      <c:pt idx="258">
                        <c:v>0.79</c:v>
                      </c:pt>
                      <c:pt idx="259">
                        <c:v>1.0900000000000001</c:v>
                      </c:pt>
                      <c:pt idx="260">
                        <c:v>0.15</c:v>
                      </c:pt>
                      <c:pt idx="261">
                        <c:v>0.49</c:v>
                      </c:pt>
                      <c:pt idx="262">
                        <c:v>0.14000000000000001</c:v>
                      </c:pt>
                      <c:pt idx="263">
                        <c:v>0.18</c:v>
                      </c:pt>
                      <c:pt idx="264">
                        <c:v>0.15</c:v>
                      </c:pt>
                      <c:pt idx="265">
                        <c:v>0.99</c:v>
                      </c:pt>
                      <c:pt idx="266">
                        <c:v>1.37</c:v>
                      </c:pt>
                      <c:pt idx="267">
                        <c:v>1.76</c:v>
                      </c:pt>
                      <c:pt idx="268">
                        <c:v>1.01</c:v>
                      </c:pt>
                      <c:pt idx="269">
                        <c:v>0.94</c:v>
                      </c:pt>
                      <c:pt idx="270">
                        <c:v>1.1299999999999999</c:v>
                      </c:pt>
                      <c:pt idx="271">
                        <c:v>1.07</c:v>
                      </c:pt>
                      <c:pt idx="272">
                        <c:v>1.42</c:v>
                      </c:pt>
                      <c:pt idx="273">
                        <c:v>1.51</c:v>
                      </c:pt>
                      <c:pt idx="274">
                        <c:v>1.18</c:v>
                      </c:pt>
                      <c:pt idx="275">
                        <c:v>1.1200000000000001</c:v>
                      </c:pt>
                      <c:pt idx="276">
                        <c:v>1.55</c:v>
                      </c:pt>
                      <c:pt idx="277">
                        <c:v>1.55</c:v>
                      </c:pt>
                      <c:pt idx="278">
                        <c:v>2.17</c:v>
                      </c:pt>
                      <c:pt idx="279">
                        <c:v>2.2799999999999998</c:v>
                      </c:pt>
                      <c:pt idx="280">
                        <c:v>2.84</c:v>
                      </c:pt>
                      <c:pt idx="281">
                        <c:v>2.87</c:v>
                      </c:pt>
                      <c:pt idx="282">
                        <c:v>2.57</c:v>
                      </c:pt>
                      <c:pt idx="283">
                        <c:v>2.52</c:v>
                      </c:pt>
                      <c:pt idx="284">
                        <c:v>1.7</c:v>
                      </c:pt>
                      <c:pt idx="285">
                        <c:v>1.27</c:v>
                      </c:pt>
                      <c:pt idx="286">
                        <c:v>0.59</c:v>
                      </c:pt>
                      <c:pt idx="287">
                        <c:v>0.35</c:v>
                      </c:pt>
                      <c:pt idx="288">
                        <c:v>0.15</c:v>
                      </c:pt>
                      <c:pt idx="289">
                        <c:v>0.08</c:v>
                      </c:pt>
                      <c:pt idx="290">
                        <c:v>0.27</c:v>
                      </c:pt>
                      <c:pt idx="291">
                        <c:v>0.21</c:v>
                      </c:pt>
                      <c:pt idx="292">
                        <c:v>0.23</c:v>
                      </c:pt>
                      <c:pt idx="293">
                        <c:v>0.21</c:v>
                      </c:pt>
                      <c:pt idx="294">
                        <c:v>0.75</c:v>
                      </c:pt>
                      <c:pt idx="295">
                        <c:v>1.51</c:v>
                      </c:pt>
                      <c:pt idx="296">
                        <c:v>2.09</c:v>
                      </c:pt>
                      <c:pt idx="297">
                        <c:v>2.54</c:v>
                      </c:pt>
                      <c:pt idx="298">
                        <c:v>1.81</c:v>
                      </c:pt>
                      <c:pt idx="299">
                        <c:v>2.46</c:v>
                      </c:pt>
                      <c:pt idx="300">
                        <c:v>3.5</c:v>
                      </c:pt>
                      <c:pt idx="301">
                        <c:v>3.67</c:v>
                      </c:pt>
                      <c:pt idx="302">
                        <c:v>3.88</c:v>
                      </c:pt>
                      <c:pt idx="303">
                        <c:v>3.54</c:v>
                      </c:pt>
                      <c:pt idx="304">
                        <c:v>2.0699999999999998</c:v>
                      </c:pt>
                      <c:pt idx="305">
                        <c:v>2.17</c:v>
                      </c:pt>
                      <c:pt idx="306">
                        <c:v>1.65</c:v>
                      </c:pt>
                      <c:pt idx="307">
                        <c:v>0.28000000000000003</c:v>
                      </c:pt>
                      <c:pt idx="308">
                        <c:v>0.85</c:v>
                      </c:pt>
                      <c:pt idx="309">
                        <c:v>0.09</c:v>
                      </c:pt>
                      <c:pt idx="310">
                        <c:v>0.43</c:v>
                      </c:pt>
                      <c:pt idx="311">
                        <c:v>0.14000000000000001</c:v>
                      </c:pt>
                      <c:pt idx="312">
                        <c:v>0.16</c:v>
                      </c:pt>
                      <c:pt idx="313">
                        <c:v>0.16</c:v>
                      </c:pt>
                      <c:pt idx="314">
                        <c:v>0.39</c:v>
                      </c:pt>
                      <c:pt idx="315">
                        <c:v>0.34</c:v>
                      </c:pt>
                      <c:pt idx="316">
                        <c:v>0.19</c:v>
                      </c:pt>
                      <c:pt idx="317">
                        <c:v>0.32</c:v>
                      </c:pt>
                      <c:pt idx="318">
                        <c:v>0.43</c:v>
                      </c:pt>
                      <c:pt idx="319">
                        <c:v>1.87</c:v>
                      </c:pt>
                      <c:pt idx="320">
                        <c:v>2.4500000000000002</c:v>
                      </c:pt>
                      <c:pt idx="321">
                        <c:v>1.49</c:v>
                      </c:pt>
                      <c:pt idx="322">
                        <c:v>1.74</c:v>
                      </c:pt>
                      <c:pt idx="323">
                        <c:v>1.32</c:v>
                      </c:pt>
                      <c:pt idx="324">
                        <c:v>2.4300000000000002</c:v>
                      </c:pt>
                      <c:pt idx="325">
                        <c:v>2.5</c:v>
                      </c:pt>
                      <c:pt idx="326">
                        <c:v>2.77</c:v>
                      </c:pt>
                      <c:pt idx="327">
                        <c:v>1.83</c:v>
                      </c:pt>
                      <c:pt idx="328">
                        <c:v>2.12</c:v>
                      </c:pt>
                      <c:pt idx="329">
                        <c:v>2.08</c:v>
                      </c:pt>
                      <c:pt idx="330">
                        <c:v>1.02</c:v>
                      </c:pt>
                      <c:pt idx="331">
                        <c:v>1.2</c:v>
                      </c:pt>
                      <c:pt idx="332">
                        <c:v>0.32</c:v>
                      </c:pt>
                      <c:pt idx="333">
                        <c:v>0.11</c:v>
                      </c:pt>
                      <c:pt idx="334">
                        <c:v>0.37</c:v>
                      </c:pt>
                      <c:pt idx="335">
                        <c:v>0.44</c:v>
                      </c:pt>
                    </c:numCache>
                  </c:numRef>
                </c:yVal>
                <c:smooth val="0"/>
                <c:extLst>
                  <c:ext xmlns:c16="http://schemas.microsoft.com/office/drawing/2014/chart" uri="{C3380CC4-5D6E-409C-BE32-E72D297353CC}">
                    <c16:uniqueId val="{00000000-B4D7-416D-BFE8-53B93365CD55}"/>
                  </c:ext>
                </c:extLst>
              </c15:ser>
            </c15:filteredScatterSeries>
          </c:ext>
        </c:extLst>
      </c:scatterChart>
      <c:valAx>
        <c:axId val="1149821568"/>
        <c:scaling>
          <c:orientation val="minMax"/>
          <c:max val="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Wind speed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820128"/>
        <c:crosses val="autoZero"/>
        <c:crossBetween val="midCat"/>
      </c:valAx>
      <c:valAx>
        <c:axId val="1149820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Ozone concentration (ppb)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821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Ozone concentration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'Example ozone analysis'!$C$2:$C$337</c:f>
              <c:numCache>
                <c:formatCode>m/d/yyyy\ h:mm</c:formatCode>
                <c:ptCount val="336"/>
                <c:pt idx="0">
                  <c:v>40581.041666666664</c:v>
                </c:pt>
                <c:pt idx="1">
                  <c:v>40581.083333333336</c:v>
                </c:pt>
                <c:pt idx="2">
                  <c:v>40581.125</c:v>
                </c:pt>
                <c:pt idx="3">
                  <c:v>40581.166666666664</c:v>
                </c:pt>
                <c:pt idx="4">
                  <c:v>40581.208333506947</c:v>
                </c:pt>
                <c:pt idx="5">
                  <c:v>40581.250000231485</c:v>
                </c:pt>
                <c:pt idx="6">
                  <c:v>40581.291666956022</c:v>
                </c:pt>
                <c:pt idx="7">
                  <c:v>40581.333333680559</c:v>
                </c:pt>
                <c:pt idx="8">
                  <c:v>40581.375000405096</c:v>
                </c:pt>
                <c:pt idx="9">
                  <c:v>40581.416667129626</c:v>
                </c:pt>
                <c:pt idx="10">
                  <c:v>40581.458333854163</c:v>
                </c:pt>
                <c:pt idx="11">
                  <c:v>40581.500000578701</c:v>
                </c:pt>
                <c:pt idx="12">
                  <c:v>40581.541667303238</c:v>
                </c:pt>
                <c:pt idx="13">
                  <c:v>40581.583334027775</c:v>
                </c:pt>
                <c:pt idx="14">
                  <c:v>40581.625000752312</c:v>
                </c:pt>
                <c:pt idx="15">
                  <c:v>40581.666667476849</c:v>
                </c:pt>
                <c:pt idx="16">
                  <c:v>40581.708334201387</c:v>
                </c:pt>
                <c:pt idx="17">
                  <c:v>40581.750000925924</c:v>
                </c:pt>
                <c:pt idx="18">
                  <c:v>40581.791667650461</c:v>
                </c:pt>
                <c:pt idx="19">
                  <c:v>40581.833334374998</c:v>
                </c:pt>
                <c:pt idx="20">
                  <c:v>40581.875001099535</c:v>
                </c:pt>
                <c:pt idx="21">
                  <c:v>40581.916667824073</c:v>
                </c:pt>
                <c:pt idx="22">
                  <c:v>40581.95833454861</c:v>
                </c:pt>
                <c:pt idx="23">
                  <c:v>40582.000001273147</c:v>
                </c:pt>
                <c:pt idx="24">
                  <c:v>40582.041667997684</c:v>
                </c:pt>
                <c:pt idx="25">
                  <c:v>40582.083334722221</c:v>
                </c:pt>
                <c:pt idx="26">
                  <c:v>40582.125001446759</c:v>
                </c:pt>
                <c:pt idx="27">
                  <c:v>40582.166668171296</c:v>
                </c:pt>
                <c:pt idx="28">
                  <c:v>40582.208334895833</c:v>
                </c:pt>
                <c:pt idx="29">
                  <c:v>40582.25000162037</c:v>
                </c:pt>
                <c:pt idx="30">
                  <c:v>40582.291668344908</c:v>
                </c:pt>
                <c:pt idx="31">
                  <c:v>40582.333335069445</c:v>
                </c:pt>
                <c:pt idx="32">
                  <c:v>40582.375001793982</c:v>
                </c:pt>
                <c:pt idx="33">
                  <c:v>40582.416668518519</c:v>
                </c:pt>
                <c:pt idx="34">
                  <c:v>40582.458335243056</c:v>
                </c:pt>
                <c:pt idx="35">
                  <c:v>40582.500001967594</c:v>
                </c:pt>
                <c:pt idx="36">
                  <c:v>40582.541668692131</c:v>
                </c:pt>
                <c:pt idx="37">
                  <c:v>40582.583335416668</c:v>
                </c:pt>
                <c:pt idx="38">
                  <c:v>40582.625002141205</c:v>
                </c:pt>
                <c:pt idx="39">
                  <c:v>40582.666668865742</c:v>
                </c:pt>
                <c:pt idx="40">
                  <c:v>40582.70833559028</c:v>
                </c:pt>
                <c:pt idx="41">
                  <c:v>40582.750002314817</c:v>
                </c:pt>
                <c:pt idx="42">
                  <c:v>40582.791669039354</c:v>
                </c:pt>
                <c:pt idx="43">
                  <c:v>40582.833335763891</c:v>
                </c:pt>
                <c:pt idx="44">
                  <c:v>40582.875002488428</c:v>
                </c:pt>
                <c:pt idx="45">
                  <c:v>40582.916669212966</c:v>
                </c:pt>
                <c:pt idx="46">
                  <c:v>40582.958335937503</c:v>
                </c:pt>
                <c:pt idx="47">
                  <c:v>40583.00000266204</c:v>
                </c:pt>
                <c:pt idx="48">
                  <c:v>40583.041669386577</c:v>
                </c:pt>
                <c:pt idx="49">
                  <c:v>40583.083336111114</c:v>
                </c:pt>
                <c:pt idx="50">
                  <c:v>40583.125002835652</c:v>
                </c:pt>
                <c:pt idx="51">
                  <c:v>40583.166669560182</c:v>
                </c:pt>
                <c:pt idx="52">
                  <c:v>40583.208336284719</c:v>
                </c:pt>
                <c:pt idx="53">
                  <c:v>40583.250003009256</c:v>
                </c:pt>
                <c:pt idx="54">
                  <c:v>40583.291669733793</c:v>
                </c:pt>
                <c:pt idx="55">
                  <c:v>40583.33333645833</c:v>
                </c:pt>
                <c:pt idx="56">
                  <c:v>40583.375003182868</c:v>
                </c:pt>
                <c:pt idx="57">
                  <c:v>40583.416669907405</c:v>
                </c:pt>
                <c:pt idx="58">
                  <c:v>40583.458336631942</c:v>
                </c:pt>
                <c:pt idx="59">
                  <c:v>40583.500003356479</c:v>
                </c:pt>
                <c:pt idx="60">
                  <c:v>40583.541670081016</c:v>
                </c:pt>
                <c:pt idx="61">
                  <c:v>40583.583336805554</c:v>
                </c:pt>
                <c:pt idx="62">
                  <c:v>40583.625003530091</c:v>
                </c:pt>
                <c:pt idx="63">
                  <c:v>40583.666670254628</c:v>
                </c:pt>
                <c:pt idx="64">
                  <c:v>40583.708336979165</c:v>
                </c:pt>
                <c:pt idx="65">
                  <c:v>40583.750003703703</c:v>
                </c:pt>
                <c:pt idx="66">
                  <c:v>40583.79167042824</c:v>
                </c:pt>
                <c:pt idx="67">
                  <c:v>40583.833337152777</c:v>
                </c:pt>
                <c:pt idx="68">
                  <c:v>40583.875003877314</c:v>
                </c:pt>
                <c:pt idx="69">
                  <c:v>40583.916670601851</c:v>
                </c:pt>
                <c:pt idx="70">
                  <c:v>40583.958337326389</c:v>
                </c:pt>
                <c:pt idx="71">
                  <c:v>40584.000004050926</c:v>
                </c:pt>
                <c:pt idx="72">
                  <c:v>40584.041670775463</c:v>
                </c:pt>
                <c:pt idx="73">
                  <c:v>40584.0833375</c:v>
                </c:pt>
                <c:pt idx="74">
                  <c:v>40584.125004224537</c:v>
                </c:pt>
                <c:pt idx="75">
                  <c:v>40584.166670949075</c:v>
                </c:pt>
                <c:pt idx="76">
                  <c:v>40584.208337673612</c:v>
                </c:pt>
                <c:pt idx="77">
                  <c:v>40584.250004398149</c:v>
                </c:pt>
                <c:pt idx="78">
                  <c:v>40584.291671122686</c:v>
                </c:pt>
                <c:pt idx="79">
                  <c:v>40584.333337847223</c:v>
                </c:pt>
                <c:pt idx="80">
                  <c:v>40584.375004571761</c:v>
                </c:pt>
                <c:pt idx="81">
                  <c:v>40584.416671296298</c:v>
                </c:pt>
                <c:pt idx="82">
                  <c:v>40584.458338020835</c:v>
                </c:pt>
                <c:pt idx="83">
                  <c:v>40584.500004745372</c:v>
                </c:pt>
                <c:pt idx="84">
                  <c:v>40584.541671469909</c:v>
                </c:pt>
                <c:pt idx="85">
                  <c:v>40584.583338194447</c:v>
                </c:pt>
                <c:pt idx="86">
                  <c:v>40584.625004918984</c:v>
                </c:pt>
                <c:pt idx="87">
                  <c:v>40584.666671643521</c:v>
                </c:pt>
                <c:pt idx="88">
                  <c:v>40584.708338368058</c:v>
                </c:pt>
                <c:pt idx="89">
                  <c:v>40584.750005092596</c:v>
                </c:pt>
                <c:pt idx="90">
                  <c:v>40584.791671817133</c:v>
                </c:pt>
                <c:pt idx="91">
                  <c:v>40584.83333854167</c:v>
                </c:pt>
                <c:pt idx="92">
                  <c:v>40584.875005266207</c:v>
                </c:pt>
                <c:pt idx="93">
                  <c:v>40584.916671990744</c:v>
                </c:pt>
                <c:pt idx="94">
                  <c:v>40584.958338715274</c:v>
                </c:pt>
                <c:pt idx="95">
                  <c:v>40585.000005439812</c:v>
                </c:pt>
                <c:pt idx="96">
                  <c:v>40585.041672164349</c:v>
                </c:pt>
                <c:pt idx="97">
                  <c:v>40585.083338888886</c:v>
                </c:pt>
                <c:pt idx="98">
                  <c:v>40585.125005613423</c:v>
                </c:pt>
                <c:pt idx="99">
                  <c:v>40585.16667233796</c:v>
                </c:pt>
                <c:pt idx="100">
                  <c:v>40585.208339062498</c:v>
                </c:pt>
                <c:pt idx="101">
                  <c:v>40585.250005787035</c:v>
                </c:pt>
                <c:pt idx="102">
                  <c:v>40585.291672511572</c:v>
                </c:pt>
                <c:pt idx="103">
                  <c:v>40585.333339236109</c:v>
                </c:pt>
                <c:pt idx="104">
                  <c:v>40585.375005960646</c:v>
                </c:pt>
                <c:pt idx="105">
                  <c:v>40585.416672685184</c:v>
                </c:pt>
                <c:pt idx="106">
                  <c:v>40585.458339409721</c:v>
                </c:pt>
                <c:pt idx="107">
                  <c:v>40585.500006134258</c:v>
                </c:pt>
                <c:pt idx="108">
                  <c:v>40585.541672858795</c:v>
                </c:pt>
                <c:pt idx="109">
                  <c:v>40585.583339583332</c:v>
                </c:pt>
                <c:pt idx="110">
                  <c:v>40585.62500630787</c:v>
                </c:pt>
                <c:pt idx="111">
                  <c:v>40585.666673032407</c:v>
                </c:pt>
                <c:pt idx="112">
                  <c:v>40585.708339756944</c:v>
                </c:pt>
                <c:pt idx="113">
                  <c:v>40585.750006481481</c:v>
                </c:pt>
                <c:pt idx="114">
                  <c:v>40585.791673206018</c:v>
                </c:pt>
                <c:pt idx="115">
                  <c:v>40585.833339930556</c:v>
                </c:pt>
                <c:pt idx="116">
                  <c:v>40585.875006655093</c:v>
                </c:pt>
                <c:pt idx="117">
                  <c:v>40585.91667337963</c:v>
                </c:pt>
                <c:pt idx="118">
                  <c:v>40585.958340104167</c:v>
                </c:pt>
                <c:pt idx="119">
                  <c:v>40586.000006828704</c:v>
                </c:pt>
                <c:pt idx="120">
                  <c:v>40586.041673553242</c:v>
                </c:pt>
                <c:pt idx="121">
                  <c:v>40586.083340277779</c:v>
                </c:pt>
                <c:pt idx="122">
                  <c:v>40586.125007002316</c:v>
                </c:pt>
                <c:pt idx="123">
                  <c:v>40586.166673726853</c:v>
                </c:pt>
                <c:pt idx="124">
                  <c:v>40586.208340451391</c:v>
                </c:pt>
                <c:pt idx="125">
                  <c:v>40586.250007175928</c:v>
                </c:pt>
                <c:pt idx="126">
                  <c:v>40586.291673900465</c:v>
                </c:pt>
                <c:pt idx="127">
                  <c:v>40586.333340625002</c:v>
                </c:pt>
                <c:pt idx="128">
                  <c:v>40586.375007349539</c:v>
                </c:pt>
                <c:pt idx="129">
                  <c:v>40586.416674074077</c:v>
                </c:pt>
                <c:pt idx="130">
                  <c:v>40586.458340798614</c:v>
                </c:pt>
                <c:pt idx="131">
                  <c:v>40586.500007523151</c:v>
                </c:pt>
                <c:pt idx="132">
                  <c:v>40586.541674247688</c:v>
                </c:pt>
                <c:pt idx="133">
                  <c:v>40586.583340972225</c:v>
                </c:pt>
                <c:pt idx="134">
                  <c:v>40586.625007696763</c:v>
                </c:pt>
                <c:pt idx="135">
                  <c:v>40586.6666744213</c:v>
                </c:pt>
                <c:pt idx="136">
                  <c:v>40586.70834114583</c:v>
                </c:pt>
                <c:pt idx="137">
                  <c:v>40586.750007870367</c:v>
                </c:pt>
                <c:pt idx="138">
                  <c:v>40586.791674594904</c:v>
                </c:pt>
                <c:pt idx="139">
                  <c:v>40586.833341319441</c:v>
                </c:pt>
                <c:pt idx="140">
                  <c:v>40586.875008043979</c:v>
                </c:pt>
                <c:pt idx="141">
                  <c:v>40586.916674768516</c:v>
                </c:pt>
                <c:pt idx="142">
                  <c:v>40586.958341493053</c:v>
                </c:pt>
                <c:pt idx="143">
                  <c:v>40587.00000821759</c:v>
                </c:pt>
                <c:pt idx="144">
                  <c:v>40587.041674942127</c:v>
                </c:pt>
                <c:pt idx="145">
                  <c:v>40587.083341666665</c:v>
                </c:pt>
                <c:pt idx="146">
                  <c:v>40587.125008391202</c:v>
                </c:pt>
                <c:pt idx="147">
                  <c:v>40587.166675115739</c:v>
                </c:pt>
                <c:pt idx="148">
                  <c:v>40587.208341840276</c:v>
                </c:pt>
                <c:pt idx="149">
                  <c:v>40587.250008564813</c:v>
                </c:pt>
                <c:pt idx="150">
                  <c:v>40587.291675289351</c:v>
                </c:pt>
                <c:pt idx="151">
                  <c:v>40587.333342013888</c:v>
                </c:pt>
                <c:pt idx="152">
                  <c:v>40587.375008738425</c:v>
                </c:pt>
                <c:pt idx="153">
                  <c:v>40587.416675462962</c:v>
                </c:pt>
                <c:pt idx="154">
                  <c:v>40587.4583421875</c:v>
                </c:pt>
                <c:pt idx="155">
                  <c:v>40587.500008912037</c:v>
                </c:pt>
                <c:pt idx="156">
                  <c:v>40587.541675636574</c:v>
                </c:pt>
                <c:pt idx="157">
                  <c:v>40587.583342361111</c:v>
                </c:pt>
                <c:pt idx="158">
                  <c:v>40587.625009085648</c:v>
                </c:pt>
                <c:pt idx="159">
                  <c:v>40587.666675810186</c:v>
                </c:pt>
                <c:pt idx="160">
                  <c:v>40587.708342534723</c:v>
                </c:pt>
                <c:pt idx="161">
                  <c:v>40587.75000925926</c:v>
                </c:pt>
                <c:pt idx="162">
                  <c:v>40587.791675983797</c:v>
                </c:pt>
                <c:pt idx="163">
                  <c:v>40587.833342708334</c:v>
                </c:pt>
                <c:pt idx="164">
                  <c:v>40587.875009432872</c:v>
                </c:pt>
                <c:pt idx="165">
                  <c:v>40587.916676157409</c:v>
                </c:pt>
                <c:pt idx="166">
                  <c:v>40587.958342881946</c:v>
                </c:pt>
                <c:pt idx="167">
                  <c:v>40588.000009606483</c:v>
                </c:pt>
                <c:pt idx="168">
                  <c:v>40588.04167633102</c:v>
                </c:pt>
                <c:pt idx="169">
                  <c:v>40588.083343055558</c:v>
                </c:pt>
                <c:pt idx="170">
                  <c:v>40588.125009780095</c:v>
                </c:pt>
                <c:pt idx="171">
                  <c:v>40588.166676504632</c:v>
                </c:pt>
                <c:pt idx="172">
                  <c:v>40588.208343229169</c:v>
                </c:pt>
                <c:pt idx="173">
                  <c:v>40588.250009953706</c:v>
                </c:pt>
                <c:pt idx="174">
                  <c:v>40588.291676678244</c:v>
                </c:pt>
                <c:pt idx="175">
                  <c:v>40588.333343402781</c:v>
                </c:pt>
                <c:pt idx="176">
                  <c:v>40588.375010127318</c:v>
                </c:pt>
                <c:pt idx="177">
                  <c:v>40588.416676851855</c:v>
                </c:pt>
                <c:pt idx="178">
                  <c:v>40588.458343576393</c:v>
                </c:pt>
                <c:pt idx="179">
                  <c:v>40588.500010300922</c:v>
                </c:pt>
                <c:pt idx="180">
                  <c:v>40588.54167702546</c:v>
                </c:pt>
                <c:pt idx="181">
                  <c:v>40588.583343749997</c:v>
                </c:pt>
                <c:pt idx="182">
                  <c:v>40588.625010474534</c:v>
                </c:pt>
                <c:pt idx="183">
                  <c:v>40588.666677199071</c:v>
                </c:pt>
                <c:pt idx="184">
                  <c:v>40588.708343923608</c:v>
                </c:pt>
                <c:pt idx="185">
                  <c:v>40588.750010648146</c:v>
                </c:pt>
                <c:pt idx="186">
                  <c:v>40588.791677372683</c:v>
                </c:pt>
                <c:pt idx="187">
                  <c:v>40588.83334409722</c:v>
                </c:pt>
                <c:pt idx="188">
                  <c:v>40588.875010821757</c:v>
                </c:pt>
                <c:pt idx="189">
                  <c:v>40588.916677546295</c:v>
                </c:pt>
                <c:pt idx="190">
                  <c:v>40588.958344270832</c:v>
                </c:pt>
                <c:pt idx="191">
                  <c:v>40589.000010995369</c:v>
                </c:pt>
                <c:pt idx="192">
                  <c:v>40589.041677719906</c:v>
                </c:pt>
                <c:pt idx="193">
                  <c:v>40589.083344444443</c:v>
                </c:pt>
                <c:pt idx="194">
                  <c:v>40589.125011168981</c:v>
                </c:pt>
                <c:pt idx="195">
                  <c:v>40589.166677893518</c:v>
                </c:pt>
                <c:pt idx="196">
                  <c:v>40589.208344618055</c:v>
                </c:pt>
                <c:pt idx="197">
                  <c:v>40589.250011342592</c:v>
                </c:pt>
                <c:pt idx="198">
                  <c:v>40589.291678067129</c:v>
                </c:pt>
                <c:pt idx="199">
                  <c:v>40589.333344791667</c:v>
                </c:pt>
                <c:pt idx="200">
                  <c:v>40589.375011516204</c:v>
                </c:pt>
                <c:pt idx="201">
                  <c:v>40589.416678240741</c:v>
                </c:pt>
                <c:pt idx="202">
                  <c:v>40589.458344965278</c:v>
                </c:pt>
                <c:pt idx="203">
                  <c:v>40589.500011689815</c:v>
                </c:pt>
                <c:pt idx="204">
                  <c:v>40589.541678414353</c:v>
                </c:pt>
                <c:pt idx="205">
                  <c:v>40589.58334513889</c:v>
                </c:pt>
                <c:pt idx="206">
                  <c:v>40589.625011863427</c:v>
                </c:pt>
                <c:pt idx="207">
                  <c:v>40589.666678587964</c:v>
                </c:pt>
                <c:pt idx="208">
                  <c:v>40589.708345312501</c:v>
                </c:pt>
                <c:pt idx="209">
                  <c:v>40589.750012037039</c:v>
                </c:pt>
                <c:pt idx="210">
                  <c:v>40589.791678761576</c:v>
                </c:pt>
                <c:pt idx="211">
                  <c:v>40589.833345486113</c:v>
                </c:pt>
                <c:pt idx="212">
                  <c:v>40589.87501221065</c:v>
                </c:pt>
                <c:pt idx="213">
                  <c:v>40589.916678935188</c:v>
                </c:pt>
                <c:pt idx="214">
                  <c:v>40589.958345659725</c:v>
                </c:pt>
                <c:pt idx="215">
                  <c:v>40590.000012384262</c:v>
                </c:pt>
                <c:pt idx="216">
                  <c:v>40590.041679108799</c:v>
                </c:pt>
                <c:pt idx="217">
                  <c:v>40590.083345833336</c:v>
                </c:pt>
                <c:pt idx="218">
                  <c:v>40590.125012557874</c:v>
                </c:pt>
                <c:pt idx="219">
                  <c:v>40590.166679282411</c:v>
                </c:pt>
                <c:pt idx="220">
                  <c:v>40590.208346006948</c:v>
                </c:pt>
                <c:pt idx="221">
                  <c:v>40590.250012731478</c:v>
                </c:pt>
                <c:pt idx="222">
                  <c:v>40590.291679456015</c:v>
                </c:pt>
                <c:pt idx="223">
                  <c:v>40590.333346180552</c:v>
                </c:pt>
                <c:pt idx="224">
                  <c:v>40590.37501290509</c:v>
                </c:pt>
                <c:pt idx="225">
                  <c:v>40590.416679629627</c:v>
                </c:pt>
                <c:pt idx="226">
                  <c:v>40590.458346354164</c:v>
                </c:pt>
                <c:pt idx="227">
                  <c:v>40590.500013078701</c:v>
                </c:pt>
                <c:pt idx="228">
                  <c:v>40590.541679803238</c:v>
                </c:pt>
                <c:pt idx="229">
                  <c:v>40590.583346527776</c:v>
                </c:pt>
                <c:pt idx="230">
                  <c:v>40590.625013252313</c:v>
                </c:pt>
                <c:pt idx="231">
                  <c:v>40590.66667997685</c:v>
                </c:pt>
                <c:pt idx="232">
                  <c:v>40590.708346701387</c:v>
                </c:pt>
                <c:pt idx="233">
                  <c:v>40590.750013425924</c:v>
                </c:pt>
                <c:pt idx="234">
                  <c:v>40590.791680150462</c:v>
                </c:pt>
                <c:pt idx="235">
                  <c:v>40590.833346874999</c:v>
                </c:pt>
                <c:pt idx="236">
                  <c:v>40590.875013599536</c:v>
                </c:pt>
                <c:pt idx="237">
                  <c:v>40590.916680324073</c:v>
                </c:pt>
                <c:pt idx="238">
                  <c:v>40590.95834704861</c:v>
                </c:pt>
                <c:pt idx="239">
                  <c:v>40591.000013773148</c:v>
                </c:pt>
                <c:pt idx="240">
                  <c:v>40591.041680497685</c:v>
                </c:pt>
                <c:pt idx="241">
                  <c:v>40591.083347222222</c:v>
                </c:pt>
                <c:pt idx="242">
                  <c:v>40591.125013946759</c:v>
                </c:pt>
                <c:pt idx="243">
                  <c:v>40591.166680671296</c:v>
                </c:pt>
                <c:pt idx="244">
                  <c:v>40591.208347395834</c:v>
                </c:pt>
                <c:pt idx="245">
                  <c:v>40591.250014120371</c:v>
                </c:pt>
                <c:pt idx="246">
                  <c:v>40591.291680844908</c:v>
                </c:pt>
                <c:pt idx="247">
                  <c:v>40591.333347569445</c:v>
                </c:pt>
                <c:pt idx="248">
                  <c:v>40591.375014293983</c:v>
                </c:pt>
                <c:pt idx="249">
                  <c:v>40591.41668101852</c:v>
                </c:pt>
                <c:pt idx="250">
                  <c:v>40591.458347743057</c:v>
                </c:pt>
                <c:pt idx="251">
                  <c:v>40591.500014467594</c:v>
                </c:pt>
                <c:pt idx="252">
                  <c:v>40591.541681192131</c:v>
                </c:pt>
                <c:pt idx="253">
                  <c:v>40591.583347916669</c:v>
                </c:pt>
                <c:pt idx="254">
                  <c:v>40591.625014641206</c:v>
                </c:pt>
                <c:pt idx="255">
                  <c:v>40591.666681365743</c:v>
                </c:pt>
                <c:pt idx="256">
                  <c:v>40591.70834809028</c:v>
                </c:pt>
                <c:pt idx="257">
                  <c:v>40591.750014814817</c:v>
                </c:pt>
                <c:pt idx="258">
                  <c:v>40591.791681539355</c:v>
                </c:pt>
                <c:pt idx="259">
                  <c:v>40591.833348263892</c:v>
                </c:pt>
                <c:pt idx="260">
                  <c:v>40591.875014988429</c:v>
                </c:pt>
                <c:pt idx="261">
                  <c:v>40591.916681712966</c:v>
                </c:pt>
                <c:pt idx="262">
                  <c:v>40591.958348437503</c:v>
                </c:pt>
                <c:pt idx="263">
                  <c:v>40592.000015162041</c:v>
                </c:pt>
                <c:pt idx="264">
                  <c:v>40592.041681886571</c:v>
                </c:pt>
                <c:pt idx="265">
                  <c:v>40592.083348611108</c:v>
                </c:pt>
                <c:pt idx="266">
                  <c:v>40592.125015335645</c:v>
                </c:pt>
                <c:pt idx="267">
                  <c:v>40592.166682060182</c:v>
                </c:pt>
                <c:pt idx="268">
                  <c:v>40592.208348784719</c:v>
                </c:pt>
                <c:pt idx="269">
                  <c:v>40592.250015509257</c:v>
                </c:pt>
                <c:pt idx="270">
                  <c:v>40592.291682233794</c:v>
                </c:pt>
                <c:pt idx="271">
                  <c:v>40592.333348958331</c:v>
                </c:pt>
                <c:pt idx="272">
                  <c:v>40592.375015682868</c:v>
                </c:pt>
                <c:pt idx="273">
                  <c:v>40592.416682407405</c:v>
                </c:pt>
                <c:pt idx="274">
                  <c:v>40592.458349131943</c:v>
                </c:pt>
                <c:pt idx="275">
                  <c:v>40592.50001585648</c:v>
                </c:pt>
                <c:pt idx="276">
                  <c:v>40592.541682581017</c:v>
                </c:pt>
                <c:pt idx="277">
                  <c:v>40592.583349305554</c:v>
                </c:pt>
                <c:pt idx="278">
                  <c:v>40592.625016030092</c:v>
                </c:pt>
                <c:pt idx="279">
                  <c:v>40592.666682754629</c:v>
                </c:pt>
                <c:pt idx="280">
                  <c:v>40592.708349479166</c:v>
                </c:pt>
                <c:pt idx="281">
                  <c:v>40592.750016203703</c:v>
                </c:pt>
                <c:pt idx="282">
                  <c:v>40592.79168292824</c:v>
                </c:pt>
                <c:pt idx="283">
                  <c:v>40592.833349652778</c:v>
                </c:pt>
                <c:pt idx="284">
                  <c:v>40592.875016377315</c:v>
                </c:pt>
                <c:pt idx="285">
                  <c:v>40592.916683101852</c:v>
                </c:pt>
                <c:pt idx="286">
                  <c:v>40592.958349826389</c:v>
                </c:pt>
                <c:pt idx="287">
                  <c:v>40593.000016550926</c:v>
                </c:pt>
                <c:pt idx="288">
                  <c:v>40593.041683275464</c:v>
                </c:pt>
                <c:pt idx="289">
                  <c:v>40593.083350000001</c:v>
                </c:pt>
                <c:pt idx="290">
                  <c:v>40593.125016724538</c:v>
                </c:pt>
                <c:pt idx="291">
                  <c:v>40593.166683449075</c:v>
                </c:pt>
                <c:pt idx="292">
                  <c:v>40593.208350173612</c:v>
                </c:pt>
                <c:pt idx="293">
                  <c:v>40593.25001689815</c:v>
                </c:pt>
                <c:pt idx="294">
                  <c:v>40593.291683622687</c:v>
                </c:pt>
                <c:pt idx="295">
                  <c:v>40593.333350347224</c:v>
                </c:pt>
                <c:pt idx="296">
                  <c:v>40593.375017071761</c:v>
                </c:pt>
                <c:pt idx="297">
                  <c:v>40593.416683796298</c:v>
                </c:pt>
                <c:pt idx="298">
                  <c:v>40593.458350520836</c:v>
                </c:pt>
                <c:pt idx="299">
                  <c:v>40593.500017245373</c:v>
                </c:pt>
                <c:pt idx="300">
                  <c:v>40593.54168396991</c:v>
                </c:pt>
                <c:pt idx="301">
                  <c:v>40593.583350694447</c:v>
                </c:pt>
                <c:pt idx="302">
                  <c:v>40593.625017418984</c:v>
                </c:pt>
                <c:pt idx="303">
                  <c:v>40593.666684143522</c:v>
                </c:pt>
                <c:pt idx="304">
                  <c:v>40593.708350868059</c:v>
                </c:pt>
                <c:pt idx="305">
                  <c:v>40593.750017592596</c:v>
                </c:pt>
                <c:pt idx="306">
                  <c:v>40593.791684317126</c:v>
                </c:pt>
                <c:pt idx="307">
                  <c:v>40593.833351041663</c:v>
                </c:pt>
                <c:pt idx="308">
                  <c:v>40593.8750177662</c:v>
                </c:pt>
                <c:pt idx="309">
                  <c:v>40593.916684490738</c:v>
                </c:pt>
                <c:pt idx="310">
                  <c:v>40593.958351215275</c:v>
                </c:pt>
                <c:pt idx="311">
                  <c:v>40594.000017939812</c:v>
                </c:pt>
                <c:pt idx="312">
                  <c:v>40594.041684664349</c:v>
                </c:pt>
                <c:pt idx="313">
                  <c:v>40594.083351388887</c:v>
                </c:pt>
                <c:pt idx="314">
                  <c:v>40594.125018113424</c:v>
                </c:pt>
                <c:pt idx="315">
                  <c:v>40594.166684837961</c:v>
                </c:pt>
                <c:pt idx="316">
                  <c:v>40594.208351562498</c:v>
                </c:pt>
                <c:pt idx="317">
                  <c:v>40594.250018287035</c:v>
                </c:pt>
                <c:pt idx="318">
                  <c:v>40594.291685011573</c:v>
                </c:pt>
                <c:pt idx="319">
                  <c:v>40594.33335173611</c:v>
                </c:pt>
                <c:pt idx="320">
                  <c:v>40594.375018460647</c:v>
                </c:pt>
                <c:pt idx="321">
                  <c:v>40594.416685185184</c:v>
                </c:pt>
                <c:pt idx="322">
                  <c:v>40594.458351909721</c:v>
                </c:pt>
                <c:pt idx="323">
                  <c:v>40594.500018634259</c:v>
                </c:pt>
                <c:pt idx="324">
                  <c:v>40594.541685358796</c:v>
                </c:pt>
                <c:pt idx="325">
                  <c:v>40594.583352083333</c:v>
                </c:pt>
                <c:pt idx="326">
                  <c:v>40594.62501880787</c:v>
                </c:pt>
                <c:pt idx="327">
                  <c:v>40594.666685532407</c:v>
                </c:pt>
                <c:pt idx="328">
                  <c:v>40594.708352256945</c:v>
                </c:pt>
                <c:pt idx="329">
                  <c:v>40594.750018981482</c:v>
                </c:pt>
                <c:pt idx="330">
                  <c:v>40594.791685706019</c:v>
                </c:pt>
                <c:pt idx="331">
                  <c:v>40594.833352430556</c:v>
                </c:pt>
                <c:pt idx="332">
                  <c:v>40594.875019155093</c:v>
                </c:pt>
                <c:pt idx="333">
                  <c:v>40594.916685879631</c:v>
                </c:pt>
                <c:pt idx="334">
                  <c:v>40594.958352604168</c:v>
                </c:pt>
                <c:pt idx="335">
                  <c:v>40595.000019328705</c:v>
                </c:pt>
              </c:numCache>
            </c:numRef>
          </c:xVal>
          <c:yVal>
            <c:numRef>
              <c:f>'Example ozone analysis'!$E$2:$E$337</c:f>
              <c:numCache>
                <c:formatCode>General</c:formatCode>
                <c:ptCount val="336"/>
                <c:pt idx="0">
                  <c:v>10.02</c:v>
                </c:pt>
                <c:pt idx="1">
                  <c:v>15.2</c:v>
                </c:pt>
                <c:pt idx="2">
                  <c:v>14.91</c:v>
                </c:pt>
                <c:pt idx="3">
                  <c:v>12.05</c:v>
                </c:pt>
                <c:pt idx="4">
                  <c:v>12.34</c:v>
                </c:pt>
                <c:pt idx="5">
                  <c:v>9.91</c:v>
                </c:pt>
                <c:pt idx="6">
                  <c:v>9.5299999999999994</c:v>
                </c:pt>
                <c:pt idx="7">
                  <c:v>10.56</c:v>
                </c:pt>
                <c:pt idx="8">
                  <c:v>11.14</c:v>
                </c:pt>
                <c:pt idx="9">
                  <c:v>11.69</c:v>
                </c:pt>
                <c:pt idx="10">
                  <c:v>12.48</c:v>
                </c:pt>
                <c:pt idx="11">
                  <c:v>17.510000000000002</c:v>
                </c:pt>
                <c:pt idx="12">
                  <c:v>21.62</c:v>
                </c:pt>
                <c:pt idx="13">
                  <c:v>20.07</c:v>
                </c:pt>
                <c:pt idx="14">
                  <c:v>17.510000000000002</c:v>
                </c:pt>
                <c:pt idx="15">
                  <c:v>18</c:v>
                </c:pt>
                <c:pt idx="16">
                  <c:v>14.7</c:v>
                </c:pt>
                <c:pt idx="17">
                  <c:v>12.77</c:v>
                </c:pt>
                <c:pt idx="18">
                  <c:v>13.33</c:v>
                </c:pt>
                <c:pt idx="19">
                  <c:v>13.01</c:v>
                </c:pt>
                <c:pt idx="20">
                  <c:v>14.64</c:v>
                </c:pt>
                <c:pt idx="21">
                  <c:v>16.350000000000001</c:v>
                </c:pt>
                <c:pt idx="22">
                  <c:v>15.36</c:v>
                </c:pt>
                <c:pt idx="23">
                  <c:v>14.28</c:v>
                </c:pt>
                <c:pt idx="24">
                  <c:v>10.210000000000001</c:v>
                </c:pt>
                <c:pt idx="25">
                  <c:v>11.95</c:v>
                </c:pt>
                <c:pt idx="26">
                  <c:v>10.86</c:v>
                </c:pt>
                <c:pt idx="27">
                  <c:v>6.33</c:v>
                </c:pt>
                <c:pt idx="28">
                  <c:v>0.71</c:v>
                </c:pt>
                <c:pt idx="29">
                  <c:v>0.51</c:v>
                </c:pt>
                <c:pt idx="30">
                  <c:v>1.37</c:v>
                </c:pt>
                <c:pt idx="31">
                  <c:v>6.33</c:v>
                </c:pt>
                <c:pt idx="32">
                  <c:v>12.44</c:v>
                </c:pt>
                <c:pt idx="33">
                  <c:v>13.35</c:v>
                </c:pt>
                <c:pt idx="34">
                  <c:v>17.98</c:v>
                </c:pt>
                <c:pt idx="35">
                  <c:v>18.66</c:v>
                </c:pt>
                <c:pt idx="36">
                  <c:v>21.35</c:v>
                </c:pt>
                <c:pt idx="37">
                  <c:v>21.58</c:v>
                </c:pt>
                <c:pt idx="38">
                  <c:v>24.28</c:v>
                </c:pt>
                <c:pt idx="39">
                  <c:v>25.27</c:v>
                </c:pt>
                <c:pt idx="40">
                  <c:v>23.21</c:v>
                </c:pt>
                <c:pt idx="41">
                  <c:v>21.42</c:v>
                </c:pt>
                <c:pt idx="42">
                  <c:v>19.22</c:v>
                </c:pt>
                <c:pt idx="43">
                  <c:v>18.96</c:v>
                </c:pt>
                <c:pt idx="44">
                  <c:v>17.739999999999998</c:v>
                </c:pt>
                <c:pt idx="45">
                  <c:v>14.04</c:v>
                </c:pt>
                <c:pt idx="46">
                  <c:v>13.95</c:v>
                </c:pt>
                <c:pt idx="47">
                  <c:v>11.81</c:v>
                </c:pt>
                <c:pt idx="48">
                  <c:v>14.23</c:v>
                </c:pt>
                <c:pt idx="49">
                  <c:v>15.72</c:v>
                </c:pt>
                <c:pt idx="50">
                  <c:v>14.99</c:v>
                </c:pt>
                <c:pt idx="51">
                  <c:v>12.61</c:v>
                </c:pt>
                <c:pt idx="52">
                  <c:v>8.18</c:v>
                </c:pt>
                <c:pt idx="53">
                  <c:v>1.19</c:v>
                </c:pt>
                <c:pt idx="54">
                  <c:v>2.72</c:v>
                </c:pt>
                <c:pt idx="55">
                  <c:v>8.66</c:v>
                </c:pt>
                <c:pt idx="56">
                  <c:v>10.89</c:v>
                </c:pt>
                <c:pt idx="57">
                  <c:v>15.17</c:v>
                </c:pt>
                <c:pt idx="58">
                  <c:v>16.64</c:v>
                </c:pt>
                <c:pt idx="59">
                  <c:v>17.809999999999999</c:v>
                </c:pt>
                <c:pt idx="60">
                  <c:v>17.71</c:v>
                </c:pt>
                <c:pt idx="61">
                  <c:v>23.55</c:v>
                </c:pt>
                <c:pt idx="62">
                  <c:v>20.82</c:v>
                </c:pt>
                <c:pt idx="63">
                  <c:v>16.66</c:v>
                </c:pt>
                <c:pt idx="64">
                  <c:v>15.12</c:v>
                </c:pt>
                <c:pt idx="65">
                  <c:v>13.91</c:v>
                </c:pt>
                <c:pt idx="66">
                  <c:v>12.51</c:v>
                </c:pt>
                <c:pt idx="67">
                  <c:v>11.03</c:v>
                </c:pt>
                <c:pt idx="68">
                  <c:v>7.53</c:v>
                </c:pt>
                <c:pt idx="69">
                  <c:v>2.61</c:v>
                </c:pt>
                <c:pt idx="70">
                  <c:v>0.2</c:v>
                </c:pt>
                <c:pt idx="71">
                  <c:v>0.13</c:v>
                </c:pt>
                <c:pt idx="72">
                  <c:v>0.14000000000000001</c:v>
                </c:pt>
                <c:pt idx="73">
                  <c:v>0.14000000000000001</c:v>
                </c:pt>
                <c:pt idx="74">
                  <c:v>0.15</c:v>
                </c:pt>
                <c:pt idx="75">
                  <c:v>0.19</c:v>
                </c:pt>
                <c:pt idx="76">
                  <c:v>0.18</c:v>
                </c:pt>
                <c:pt idx="77">
                  <c:v>0.23</c:v>
                </c:pt>
                <c:pt idx="78">
                  <c:v>0.68</c:v>
                </c:pt>
                <c:pt idx="79">
                  <c:v>3.31</c:v>
                </c:pt>
                <c:pt idx="80">
                  <c:v>7.68</c:v>
                </c:pt>
                <c:pt idx="81">
                  <c:v>4.78</c:v>
                </c:pt>
                <c:pt idx="82">
                  <c:v>10.06</c:v>
                </c:pt>
                <c:pt idx="83">
                  <c:v>15.27</c:v>
                </c:pt>
                <c:pt idx="84">
                  <c:v>21.07</c:v>
                </c:pt>
                <c:pt idx="85">
                  <c:v>28.16</c:v>
                </c:pt>
                <c:pt idx="86">
                  <c:v>33.19</c:v>
                </c:pt>
                <c:pt idx="87">
                  <c:v>32.11</c:v>
                </c:pt>
                <c:pt idx="88">
                  <c:v>29.91</c:v>
                </c:pt>
                <c:pt idx="89">
                  <c:v>22.11</c:v>
                </c:pt>
                <c:pt idx="90">
                  <c:v>15.7</c:v>
                </c:pt>
                <c:pt idx="91">
                  <c:v>13.55</c:v>
                </c:pt>
                <c:pt idx="92">
                  <c:v>11.11</c:v>
                </c:pt>
                <c:pt idx="93">
                  <c:v>9.26</c:v>
                </c:pt>
                <c:pt idx="94">
                  <c:v>6.75</c:v>
                </c:pt>
                <c:pt idx="95">
                  <c:v>0.56999999999999995</c:v>
                </c:pt>
                <c:pt idx="96">
                  <c:v>0.08</c:v>
                </c:pt>
                <c:pt idx="97">
                  <c:v>0.14000000000000001</c:v>
                </c:pt>
                <c:pt idx="98">
                  <c:v>0.13</c:v>
                </c:pt>
                <c:pt idx="99">
                  <c:v>0.13</c:v>
                </c:pt>
                <c:pt idx="100">
                  <c:v>0.1</c:v>
                </c:pt>
                <c:pt idx="101">
                  <c:v>0.14000000000000001</c:v>
                </c:pt>
                <c:pt idx="102">
                  <c:v>0.41</c:v>
                </c:pt>
                <c:pt idx="103">
                  <c:v>3.81</c:v>
                </c:pt>
                <c:pt idx="104">
                  <c:v>15.28</c:v>
                </c:pt>
                <c:pt idx="105">
                  <c:v>30.68</c:v>
                </c:pt>
                <c:pt idx="106">
                  <c:v>39.14</c:v>
                </c:pt>
                <c:pt idx="107">
                  <c:v>49.02</c:v>
                </c:pt>
                <c:pt idx="108">
                  <c:v>51.06</c:v>
                </c:pt>
                <c:pt idx="109">
                  <c:v>53.3</c:v>
                </c:pt>
                <c:pt idx="110">
                  <c:v>49.05</c:v>
                </c:pt>
                <c:pt idx="111">
                  <c:v>51.92</c:v>
                </c:pt>
                <c:pt idx="112">
                  <c:v>43.76</c:v>
                </c:pt>
                <c:pt idx="113">
                  <c:v>28.89</c:v>
                </c:pt>
                <c:pt idx="114">
                  <c:v>30.39</c:v>
                </c:pt>
                <c:pt idx="115">
                  <c:v>33.299999999999997</c:v>
                </c:pt>
                <c:pt idx="116">
                  <c:v>28.09</c:v>
                </c:pt>
                <c:pt idx="117">
                  <c:v>15.44</c:v>
                </c:pt>
                <c:pt idx="118">
                  <c:v>18.03</c:v>
                </c:pt>
                <c:pt idx="119">
                  <c:v>36.840000000000003</c:v>
                </c:pt>
                <c:pt idx="120">
                  <c:v>35.01</c:v>
                </c:pt>
                <c:pt idx="121">
                  <c:v>25.28</c:v>
                </c:pt>
                <c:pt idx="122">
                  <c:v>26.06</c:v>
                </c:pt>
                <c:pt idx="123">
                  <c:v>17.89</c:v>
                </c:pt>
                <c:pt idx="124">
                  <c:v>12.53</c:v>
                </c:pt>
                <c:pt idx="125">
                  <c:v>5.77</c:v>
                </c:pt>
                <c:pt idx="126">
                  <c:v>5.12</c:v>
                </c:pt>
                <c:pt idx="127">
                  <c:v>11.79</c:v>
                </c:pt>
                <c:pt idx="128">
                  <c:v>22.01</c:v>
                </c:pt>
                <c:pt idx="129">
                  <c:v>20.49</c:v>
                </c:pt>
                <c:pt idx="130">
                  <c:v>16.02</c:v>
                </c:pt>
                <c:pt idx="131">
                  <c:v>13.49</c:v>
                </c:pt>
                <c:pt idx="132">
                  <c:v>13.59</c:v>
                </c:pt>
                <c:pt idx="133">
                  <c:v>14.4</c:v>
                </c:pt>
                <c:pt idx="134">
                  <c:v>14.42</c:v>
                </c:pt>
                <c:pt idx="135">
                  <c:v>9.68</c:v>
                </c:pt>
                <c:pt idx="136">
                  <c:v>7.06</c:v>
                </c:pt>
                <c:pt idx="137">
                  <c:v>4</c:v>
                </c:pt>
                <c:pt idx="138">
                  <c:v>1.92</c:v>
                </c:pt>
                <c:pt idx="139">
                  <c:v>1.26</c:v>
                </c:pt>
                <c:pt idx="140">
                  <c:v>2.2999999999999998</c:v>
                </c:pt>
                <c:pt idx="141">
                  <c:v>1.31</c:v>
                </c:pt>
                <c:pt idx="142">
                  <c:v>1.56</c:v>
                </c:pt>
                <c:pt idx="143">
                  <c:v>0.77</c:v>
                </c:pt>
                <c:pt idx="144">
                  <c:v>0.78</c:v>
                </c:pt>
                <c:pt idx="145">
                  <c:v>1.1599999999999999</c:v>
                </c:pt>
                <c:pt idx="146">
                  <c:v>0.38</c:v>
                </c:pt>
                <c:pt idx="147">
                  <c:v>0.06</c:v>
                </c:pt>
                <c:pt idx="148">
                  <c:v>0.06</c:v>
                </c:pt>
                <c:pt idx="149">
                  <c:v>0.11</c:v>
                </c:pt>
                <c:pt idx="150">
                  <c:v>0.79</c:v>
                </c:pt>
                <c:pt idx="151">
                  <c:v>2.2400000000000002</c:v>
                </c:pt>
                <c:pt idx="152">
                  <c:v>8.9700000000000006</c:v>
                </c:pt>
                <c:pt idx="153">
                  <c:v>11.15</c:v>
                </c:pt>
                <c:pt idx="154">
                  <c:v>13.44</c:v>
                </c:pt>
                <c:pt idx="155">
                  <c:v>14.21</c:v>
                </c:pt>
                <c:pt idx="156">
                  <c:v>14.21</c:v>
                </c:pt>
                <c:pt idx="157">
                  <c:v>14.79</c:v>
                </c:pt>
                <c:pt idx="158">
                  <c:v>14.58</c:v>
                </c:pt>
                <c:pt idx="159">
                  <c:v>16.21</c:v>
                </c:pt>
                <c:pt idx="160">
                  <c:v>17.579999999999998</c:v>
                </c:pt>
                <c:pt idx="161">
                  <c:v>17</c:v>
                </c:pt>
                <c:pt idx="162">
                  <c:v>16.690000000000001</c:v>
                </c:pt>
                <c:pt idx="163">
                  <c:v>15.44</c:v>
                </c:pt>
                <c:pt idx="164">
                  <c:v>14.44</c:v>
                </c:pt>
                <c:pt idx="165">
                  <c:v>13.24</c:v>
                </c:pt>
                <c:pt idx="166">
                  <c:v>11.3</c:v>
                </c:pt>
                <c:pt idx="167">
                  <c:v>9.23</c:v>
                </c:pt>
                <c:pt idx="168">
                  <c:v>6.45</c:v>
                </c:pt>
                <c:pt idx="169">
                  <c:v>5.67</c:v>
                </c:pt>
                <c:pt idx="170">
                  <c:v>3.39</c:v>
                </c:pt>
                <c:pt idx="171">
                  <c:v>2.1</c:v>
                </c:pt>
                <c:pt idx="172">
                  <c:v>3.65</c:v>
                </c:pt>
                <c:pt idx="173">
                  <c:v>1.91</c:v>
                </c:pt>
                <c:pt idx="174">
                  <c:v>0.84</c:v>
                </c:pt>
                <c:pt idx="175">
                  <c:v>2.0099999999999998</c:v>
                </c:pt>
                <c:pt idx="176">
                  <c:v>6.53</c:v>
                </c:pt>
                <c:pt idx="177">
                  <c:v>12.88</c:v>
                </c:pt>
                <c:pt idx="178">
                  <c:v>14.65</c:v>
                </c:pt>
                <c:pt idx="179">
                  <c:v>12.68</c:v>
                </c:pt>
                <c:pt idx="181">
                  <c:v>9.9</c:v>
                </c:pt>
                <c:pt idx="182">
                  <c:v>11.43</c:v>
                </c:pt>
                <c:pt idx="183">
                  <c:v>12.86</c:v>
                </c:pt>
                <c:pt idx="184">
                  <c:v>11.1</c:v>
                </c:pt>
                <c:pt idx="185">
                  <c:v>11.01</c:v>
                </c:pt>
                <c:pt idx="186">
                  <c:v>10.49</c:v>
                </c:pt>
                <c:pt idx="187">
                  <c:v>10.45</c:v>
                </c:pt>
                <c:pt idx="188">
                  <c:v>9.2100000000000009</c:v>
                </c:pt>
                <c:pt idx="189">
                  <c:v>7.65</c:v>
                </c:pt>
                <c:pt idx="190">
                  <c:v>7.57</c:v>
                </c:pt>
                <c:pt idx="191">
                  <c:v>9.08</c:v>
                </c:pt>
                <c:pt idx="192">
                  <c:v>4.3499999999999996</c:v>
                </c:pt>
                <c:pt idx="193">
                  <c:v>0.57999999999999996</c:v>
                </c:pt>
                <c:pt idx="194">
                  <c:v>0.2</c:v>
                </c:pt>
                <c:pt idx="195">
                  <c:v>0.21</c:v>
                </c:pt>
                <c:pt idx="196">
                  <c:v>0.19</c:v>
                </c:pt>
                <c:pt idx="197">
                  <c:v>0.19</c:v>
                </c:pt>
                <c:pt idx="198">
                  <c:v>0.6</c:v>
                </c:pt>
                <c:pt idx="199">
                  <c:v>1.36</c:v>
                </c:pt>
                <c:pt idx="200">
                  <c:v>3.49</c:v>
                </c:pt>
                <c:pt idx="201">
                  <c:v>7.58</c:v>
                </c:pt>
                <c:pt idx="202">
                  <c:v>8.93</c:v>
                </c:pt>
                <c:pt idx="203">
                  <c:v>12.13</c:v>
                </c:pt>
                <c:pt idx="204">
                  <c:v>15.59</c:v>
                </c:pt>
                <c:pt idx="205">
                  <c:v>16.23</c:v>
                </c:pt>
                <c:pt idx="206">
                  <c:v>17.88</c:v>
                </c:pt>
                <c:pt idx="207">
                  <c:v>16.5</c:v>
                </c:pt>
                <c:pt idx="208">
                  <c:v>14.72</c:v>
                </c:pt>
                <c:pt idx="209">
                  <c:v>11.75</c:v>
                </c:pt>
                <c:pt idx="210">
                  <c:v>9.0299999999999994</c:v>
                </c:pt>
                <c:pt idx="211">
                  <c:v>5.79</c:v>
                </c:pt>
                <c:pt idx="212">
                  <c:v>2.4</c:v>
                </c:pt>
                <c:pt idx="213">
                  <c:v>0.59</c:v>
                </c:pt>
                <c:pt idx="214">
                  <c:v>0.27</c:v>
                </c:pt>
                <c:pt idx="215">
                  <c:v>0.15</c:v>
                </c:pt>
                <c:pt idx="216">
                  <c:v>0.27</c:v>
                </c:pt>
                <c:pt idx="217">
                  <c:v>1.43</c:v>
                </c:pt>
                <c:pt idx="218">
                  <c:v>2.44</c:v>
                </c:pt>
                <c:pt idx="219">
                  <c:v>0.63</c:v>
                </c:pt>
                <c:pt idx="220">
                  <c:v>0.14000000000000001</c:v>
                </c:pt>
                <c:pt idx="221">
                  <c:v>0.21</c:v>
                </c:pt>
                <c:pt idx="222">
                  <c:v>0.31</c:v>
                </c:pt>
                <c:pt idx="223">
                  <c:v>0.77</c:v>
                </c:pt>
                <c:pt idx="224">
                  <c:v>3.94</c:v>
                </c:pt>
                <c:pt idx="225">
                  <c:v>7.01</c:v>
                </c:pt>
                <c:pt idx="226">
                  <c:v>11.88</c:v>
                </c:pt>
                <c:pt idx="227">
                  <c:v>17.66</c:v>
                </c:pt>
                <c:pt idx="228">
                  <c:v>22.35</c:v>
                </c:pt>
                <c:pt idx="229">
                  <c:v>31.01</c:v>
                </c:pt>
                <c:pt idx="230">
                  <c:v>25.84</c:v>
                </c:pt>
                <c:pt idx="231">
                  <c:v>21</c:v>
                </c:pt>
                <c:pt idx="232">
                  <c:v>24</c:v>
                </c:pt>
                <c:pt idx="233">
                  <c:v>18.350000000000001</c:v>
                </c:pt>
                <c:pt idx="234">
                  <c:v>9.16</c:v>
                </c:pt>
                <c:pt idx="235">
                  <c:v>8.56</c:v>
                </c:pt>
                <c:pt idx="236">
                  <c:v>7.78</c:v>
                </c:pt>
                <c:pt idx="237">
                  <c:v>9.3699999999999992</c:v>
                </c:pt>
                <c:pt idx="238">
                  <c:v>9.42</c:v>
                </c:pt>
                <c:pt idx="239">
                  <c:v>6.59</c:v>
                </c:pt>
                <c:pt idx="240">
                  <c:v>3.33</c:v>
                </c:pt>
                <c:pt idx="241">
                  <c:v>0.7</c:v>
                </c:pt>
                <c:pt idx="242">
                  <c:v>0.17</c:v>
                </c:pt>
                <c:pt idx="243">
                  <c:v>0.24</c:v>
                </c:pt>
                <c:pt idx="244">
                  <c:v>0.13</c:v>
                </c:pt>
                <c:pt idx="245">
                  <c:v>0.09</c:v>
                </c:pt>
                <c:pt idx="246">
                  <c:v>0.47</c:v>
                </c:pt>
                <c:pt idx="247">
                  <c:v>2.5499999999999998</c:v>
                </c:pt>
                <c:pt idx="248">
                  <c:v>5.25</c:v>
                </c:pt>
                <c:pt idx="249">
                  <c:v>11.66</c:v>
                </c:pt>
                <c:pt idx="250">
                  <c:v>26.89</c:v>
                </c:pt>
                <c:pt idx="251">
                  <c:v>37.25</c:v>
                </c:pt>
                <c:pt idx="252">
                  <c:v>41.83</c:v>
                </c:pt>
                <c:pt idx="253">
                  <c:v>40.840000000000003</c:v>
                </c:pt>
                <c:pt idx="254">
                  <c:v>41.76</c:v>
                </c:pt>
                <c:pt idx="255">
                  <c:v>36.42</c:v>
                </c:pt>
                <c:pt idx="256">
                  <c:v>37.659999999999997</c:v>
                </c:pt>
                <c:pt idx="257">
                  <c:v>31.18</c:v>
                </c:pt>
                <c:pt idx="258">
                  <c:v>32.79</c:v>
                </c:pt>
                <c:pt idx="259">
                  <c:v>29.86</c:v>
                </c:pt>
                <c:pt idx="260">
                  <c:v>23.81</c:v>
                </c:pt>
                <c:pt idx="261">
                  <c:v>11.44</c:v>
                </c:pt>
                <c:pt idx="262">
                  <c:v>3.78</c:v>
                </c:pt>
                <c:pt idx="263">
                  <c:v>0.39</c:v>
                </c:pt>
                <c:pt idx="264">
                  <c:v>0</c:v>
                </c:pt>
                <c:pt idx="265">
                  <c:v>2.5499999999999998</c:v>
                </c:pt>
                <c:pt idx="266">
                  <c:v>17.48</c:v>
                </c:pt>
                <c:pt idx="267">
                  <c:v>18.489999999999998</c:v>
                </c:pt>
                <c:pt idx="268">
                  <c:v>14.39</c:v>
                </c:pt>
                <c:pt idx="269">
                  <c:v>9.91</c:v>
                </c:pt>
                <c:pt idx="270">
                  <c:v>8.1300000000000008</c:v>
                </c:pt>
                <c:pt idx="271">
                  <c:v>7.63</c:v>
                </c:pt>
                <c:pt idx="272">
                  <c:v>10.93</c:v>
                </c:pt>
                <c:pt idx="273">
                  <c:v>15.63</c:v>
                </c:pt>
                <c:pt idx="274">
                  <c:v>16.010000000000002</c:v>
                </c:pt>
                <c:pt idx="275">
                  <c:v>18.18</c:v>
                </c:pt>
                <c:pt idx="276">
                  <c:v>22.54</c:v>
                </c:pt>
                <c:pt idx="277">
                  <c:v>27.22</c:v>
                </c:pt>
                <c:pt idx="278">
                  <c:v>32.299999999999997</c:v>
                </c:pt>
                <c:pt idx="279">
                  <c:v>32.770000000000003</c:v>
                </c:pt>
                <c:pt idx="280">
                  <c:v>27.84</c:v>
                </c:pt>
                <c:pt idx="281">
                  <c:v>21.28</c:v>
                </c:pt>
                <c:pt idx="282">
                  <c:v>17.100000000000001</c:v>
                </c:pt>
                <c:pt idx="283">
                  <c:v>15.31</c:v>
                </c:pt>
                <c:pt idx="284">
                  <c:v>13.72</c:v>
                </c:pt>
                <c:pt idx="285">
                  <c:v>18.579999999999998</c:v>
                </c:pt>
                <c:pt idx="286">
                  <c:v>15.54</c:v>
                </c:pt>
                <c:pt idx="287">
                  <c:v>14.14</c:v>
                </c:pt>
                <c:pt idx="288">
                  <c:v>13.95</c:v>
                </c:pt>
                <c:pt idx="289">
                  <c:v>10.08</c:v>
                </c:pt>
                <c:pt idx="290">
                  <c:v>3.69</c:v>
                </c:pt>
                <c:pt idx="291">
                  <c:v>0.42</c:v>
                </c:pt>
                <c:pt idx="292">
                  <c:v>0.12</c:v>
                </c:pt>
                <c:pt idx="293">
                  <c:v>0.14000000000000001</c:v>
                </c:pt>
                <c:pt idx="294">
                  <c:v>0.7</c:v>
                </c:pt>
                <c:pt idx="295">
                  <c:v>5.68</c:v>
                </c:pt>
                <c:pt idx="296">
                  <c:v>13.11</c:v>
                </c:pt>
                <c:pt idx="297">
                  <c:v>20.09</c:v>
                </c:pt>
                <c:pt idx="298">
                  <c:v>24.97</c:v>
                </c:pt>
                <c:pt idx="299">
                  <c:v>25.68</c:v>
                </c:pt>
                <c:pt idx="300">
                  <c:v>26.87</c:v>
                </c:pt>
                <c:pt idx="301">
                  <c:v>28.48</c:v>
                </c:pt>
                <c:pt idx="302">
                  <c:v>34.9</c:v>
                </c:pt>
                <c:pt idx="303">
                  <c:v>34.43</c:v>
                </c:pt>
                <c:pt idx="304">
                  <c:v>35.590000000000003</c:v>
                </c:pt>
                <c:pt idx="305">
                  <c:v>33.83</c:v>
                </c:pt>
                <c:pt idx="306">
                  <c:v>28.09</c:v>
                </c:pt>
                <c:pt idx="307">
                  <c:v>18.09</c:v>
                </c:pt>
                <c:pt idx="308">
                  <c:v>6.39</c:v>
                </c:pt>
                <c:pt idx="309">
                  <c:v>11.47</c:v>
                </c:pt>
                <c:pt idx="310">
                  <c:v>4.3899999999999997</c:v>
                </c:pt>
                <c:pt idx="311">
                  <c:v>0.71</c:v>
                </c:pt>
                <c:pt idx="312">
                  <c:v>1.1100000000000001</c:v>
                </c:pt>
                <c:pt idx="313">
                  <c:v>0.89</c:v>
                </c:pt>
                <c:pt idx="314">
                  <c:v>2.83</c:v>
                </c:pt>
                <c:pt idx="315">
                  <c:v>1.0900000000000001</c:v>
                </c:pt>
                <c:pt idx="316">
                  <c:v>2.87</c:v>
                </c:pt>
                <c:pt idx="317">
                  <c:v>3.47</c:v>
                </c:pt>
                <c:pt idx="318">
                  <c:v>3.68</c:v>
                </c:pt>
                <c:pt idx="319">
                  <c:v>18.61</c:v>
                </c:pt>
                <c:pt idx="320">
                  <c:v>26.58</c:v>
                </c:pt>
                <c:pt idx="321">
                  <c:v>31.46</c:v>
                </c:pt>
                <c:pt idx="322">
                  <c:v>29.84</c:v>
                </c:pt>
                <c:pt idx="323">
                  <c:v>32.380000000000003</c:v>
                </c:pt>
                <c:pt idx="324">
                  <c:v>44.13</c:v>
                </c:pt>
                <c:pt idx="325">
                  <c:v>49.17</c:v>
                </c:pt>
                <c:pt idx="326">
                  <c:v>53.98</c:v>
                </c:pt>
                <c:pt idx="327">
                  <c:v>60.16</c:v>
                </c:pt>
                <c:pt idx="328">
                  <c:v>60.71</c:v>
                </c:pt>
                <c:pt idx="329">
                  <c:v>45.4</c:v>
                </c:pt>
                <c:pt idx="330">
                  <c:v>38.5</c:v>
                </c:pt>
                <c:pt idx="331">
                  <c:v>29.92</c:v>
                </c:pt>
                <c:pt idx="332">
                  <c:v>20.07</c:v>
                </c:pt>
                <c:pt idx="333">
                  <c:v>8.41</c:v>
                </c:pt>
                <c:pt idx="334">
                  <c:v>13.92</c:v>
                </c:pt>
                <c:pt idx="335">
                  <c:v>12.79</c:v>
                </c:pt>
              </c:numCache>
            </c:numRef>
          </c:yVal>
          <c:smooth val="0"/>
          <c:extLst>
            <c:ext xmlns:c16="http://schemas.microsoft.com/office/drawing/2014/chart" uri="{C3380CC4-5D6E-409C-BE32-E72D297353CC}">
              <c16:uniqueId val="{00000001-AF22-49BB-9699-30B37508D22A}"/>
            </c:ext>
          </c:extLst>
        </c:ser>
        <c:dLbls>
          <c:showLegendKey val="0"/>
          <c:showVal val="0"/>
          <c:showCatName val="0"/>
          <c:showSerName val="0"/>
          <c:showPercent val="0"/>
          <c:showBubbleSize val="0"/>
        </c:dLbls>
        <c:axId val="1716938760"/>
        <c:axId val="1716944904"/>
      </c:scatterChart>
      <c:valAx>
        <c:axId val="1716938760"/>
        <c:scaling>
          <c:orientation val="minMax"/>
          <c:max val="40595"/>
          <c:min val="4058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h:mm"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944904"/>
        <c:crosses val="autoZero"/>
        <c:crossBetween val="midCat"/>
        <c:majorUnit val="1"/>
      </c:valAx>
      <c:valAx>
        <c:axId val="1716944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Ozone (ppb)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938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Ozone concentration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Ozone concentration</a:t>
          </a:r>
        </a:p>
      </cx:txPr>
    </cx:title>
    <cx:plotArea>
      <cx:plotAreaRegion>
        <cx:series layoutId="boxWhisker" uniqueId="{08AF9C60-36F2-4806-8B7D-A517A134B76B}">
          <cx:spPr>
            <a:solidFill>
              <a:schemeClr val="tx2">
                <a:lumMod val="25000"/>
                <a:lumOff val="75000"/>
              </a:schemeClr>
            </a:solidFill>
          </cx:spPr>
          <cx:dataId val="0"/>
          <cx:layoutPr>
            <cx:visibility meanLine="0" meanMarker="1" nonoutliers="0" outliers="1"/>
            <cx:statistics quartileMethod="exclusive"/>
          </cx:layoutPr>
        </cx:series>
      </cx:plotAreaRegion>
      <cx:axis id="0">
        <cx:catScaling gapWidth="1"/>
        <cx:title>
          <cx:tx>
            <cx:txData>
              <cx:v>Ozone concentration (ppb)</cx:v>
            </cx:txData>
          </cx:tx>
          <cx:txPr>
            <a:bodyPr vertOverflow="overflow" horzOverflow="overflow" wrap="square" lIns="0" tIns="0" rIns="0" bIns="0"/>
            <a:lstStyle/>
            <a:p>
              <a:pPr algn="ctr" rtl="0">
                <a:defRPr sz="1000" b="0"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r>
                <a:rPr sz="1000"/>
                <a:t>Ozone concentration (ppb)</a:t>
              </a:r>
            </a:p>
          </cx:txPr>
        </cx:title>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min="-0.5"/>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5835650</xdr:colOff>
      <xdr:row>0</xdr:row>
      <xdr:rowOff>254000</xdr:rowOff>
    </xdr:from>
    <xdr:to>
      <xdr:col>0</xdr:col>
      <xdr:colOff>6496050</xdr:colOff>
      <xdr:row>0</xdr:row>
      <xdr:rowOff>962025</xdr:rowOff>
    </xdr:to>
    <xdr:pic>
      <xdr:nvPicPr>
        <xdr:cNvPr id="2" name="Picture 1" descr="NSW Government logo" title="NSW Government logo">
          <a:extLst>
            <a:ext uri="{FF2B5EF4-FFF2-40B4-BE49-F238E27FC236}">
              <a16:creationId xmlns:a16="http://schemas.microsoft.com/office/drawing/2014/main" id="{7199E690-7D96-7BD9-0704-C2CCC16B7F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35650" y="254000"/>
          <a:ext cx="660400" cy="701675"/>
        </a:xfrm>
        <a:prstGeom prst="rect">
          <a:avLst/>
        </a:prstGeom>
        <a:extLst>
          <a:ext uri="{FAA26D3D-D897-4be2-8F04-BA451C77F1D7}">
            <ma14:placeholderFlag xmlns:lc="http://schemas.openxmlformats.org/drawingml/2006/lockedCanvas" xmlns:a14="http://schemas.microsoft.com/office/drawing/2010/main" xmlns:arto="http://schemas.microsoft.com/office/word/2006/arto"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oel="http://schemas.microsoft.com/office/2019/extlst"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344</xdr:row>
      <xdr:rowOff>171450</xdr:rowOff>
    </xdr:from>
    <xdr:to>
      <xdr:col>5</xdr:col>
      <xdr:colOff>161925</xdr:colOff>
      <xdr:row>360</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D8C238B-F495-226C-AEB0-58F946FF15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5750" y="62874525"/>
              <a:ext cx="4702175" cy="27432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224685</xdr:colOff>
      <xdr:row>378</xdr:row>
      <xdr:rowOff>43847</xdr:rowOff>
    </xdr:from>
    <xdr:to>
      <xdr:col>5</xdr:col>
      <xdr:colOff>400733</xdr:colOff>
      <xdr:row>393</xdr:row>
      <xdr:rowOff>85286</xdr:rowOff>
    </xdr:to>
    <xdr:graphicFrame macro="">
      <xdr:nvGraphicFramePr>
        <xdr:cNvPr id="3" name="Chart 2">
          <a:extLst>
            <a:ext uri="{FF2B5EF4-FFF2-40B4-BE49-F238E27FC236}">
              <a16:creationId xmlns:a16="http://schemas.microsoft.com/office/drawing/2014/main" id="{34140D37-F4B1-6A54-74A6-3E655EE4146E}"/>
            </a:ext>
            <a:ext uri="{147F2762-F138-4A5C-976F-8EAC2B608ADB}">
              <a16:predDERef xmlns:a16="http://schemas.microsoft.com/office/drawing/2014/main" pred="{ED8C238B-F495-226C-AEB0-58F946FF1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699294</xdr:colOff>
      <xdr:row>378</xdr:row>
      <xdr:rowOff>87311</xdr:rowOff>
    </xdr:from>
    <xdr:to>
      <xdr:col>12</xdr:col>
      <xdr:colOff>219075</xdr:colOff>
      <xdr:row>393</xdr:row>
      <xdr:rowOff>92074</xdr:rowOff>
    </xdr:to>
    <xdr:graphicFrame macro="">
      <xdr:nvGraphicFramePr>
        <xdr:cNvPr id="4" name="Chart 3">
          <a:extLst>
            <a:ext uri="{FF2B5EF4-FFF2-40B4-BE49-F238E27FC236}">
              <a16:creationId xmlns:a16="http://schemas.microsoft.com/office/drawing/2014/main" id="{289E38A7-3BA2-D239-75D6-02C3FEBA4C0B}"/>
            </a:ext>
            <a:ext uri="{147F2762-F138-4A5C-976F-8EAC2B608ADB}">
              <a16:predDERef xmlns:a16="http://schemas.microsoft.com/office/drawing/2014/main" pred="{34140D37-F4B1-6A54-74A6-3E655EE41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352747</xdr:colOff>
      <xdr:row>378</xdr:row>
      <xdr:rowOff>35427</xdr:rowOff>
    </xdr:from>
    <xdr:to>
      <xdr:col>19</xdr:col>
      <xdr:colOff>491655</xdr:colOff>
      <xdr:row>393</xdr:row>
      <xdr:rowOff>40189</xdr:rowOff>
    </xdr:to>
    <xdr:graphicFrame macro="">
      <xdr:nvGraphicFramePr>
        <xdr:cNvPr id="5" name="Chart 4">
          <a:extLst>
            <a:ext uri="{FF2B5EF4-FFF2-40B4-BE49-F238E27FC236}">
              <a16:creationId xmlns:a16="http://schemas.microsoft.com/office/drawing/2014/main" id="{7A70305C-84BB-AECB-52B4-E6D7F2F95ED0}"/>
            </a:ext>
            <a:ext uri="{147F2762-F138-4A5C-976F-8EAC2B608ADB}">
              <a16:predDERef xmlns:a16="http://schemas.microsoft.com/office/drawing/2014/main" pred="{289E38A7-3BA2-D239-75D6-02C3FEBA4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542925</xdr:colOff>
      <xdr:row>361</xdr:row>
      <xdr:rowOff>76200</xdr:rowOff>
    </xdr:from>
    <xdr:to>
      <xdr:col>22</xdr:col>
      <xdr:colOff>171450</xdr:colOff>
      <xdr:row>375</xdr:row>
      <xdr:rowOff>152400</xdr:rowOff>
    </xdr:to>
    <xdr:graphicFrame macro="">
      <xdr:nvGraphicFramePr>
        <xdr:cNvPr id="6" name="Chart 5">
          <a:extLst>
            <a:ext uri="{FF2B5EF4-FFF2-40B4-BE49-F238E27FC236}">
              <a16:creationId xmlns:a16="http://schemas.microsoft.com/office/drawing/2014/main" id="{2B277E64-99DD-E6D1-B776-B94C9E8239CE}"/>
            </a:ext>
            <a:ext uri="{147F2762-F138-4A5C-976F-8EAC2B608ADB}">
              <a16:predDERef xmlns:a16="http://schemas.microsoft.com/office/drawing/2014/main" pred="{7A70305C-84BB-AECB-52B4-E6D7F2F95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74644-D03B-49C6-BB05-A063DF2BB474}">
  <dimension ref="A1:E9"/>
  <sheetViews>
    <sheetView workbookViewId="0">
      <selection activeCell="A3" sqref="A3:XFD3"/>
    </sheetView>
  </sheetViews>
  <sheetFormatPr defaultRowHeight="14.5" x14ac:dyDescent="0.35"/>
  <cols>
    <col min="1" max="1" width="97" customWidth="1"/>
    <col min="2" max="2" width="8.453125" customWidth="1"/>
  </cols>
  <sheetData>
    <row r="1" spans="1:5" ht="78" customHeight="1" x14ac:dyDescent="0.5">
      <c r="A1" s="9" t="s">
        <v>27</v>
      </c>
    </row>
    <row r="3" spans="1:5" x14ac:dyDescent="0.35">
      <c r="B3" s="6"/>
    </row>
    <row r="4" spans="1:5" ht="129" customHeight="1" x14ac:dyDescent="0.35">
      <c r="A4" s="10" t="s">
        <v>28</v>
      </c>
      <c r="B4" s="7"/>
    </row>
    <row r="5" spans="1:5" x14ac:dyDescent="0.35">
      <c r="B5" s="7"/>
      <c r="C5" s="4"/>
      <c r="D5" s="4"/>
      <c r="E5" s="5"/>
    </row>
    <row r="6" spans="1:5" x14ac:dyDescent="0.35">
      <c r="B6" s="8"/>
    </row>
    <row r="7" spans="1:5" x14ac:dyDescent="0.35">
      <c r="B7" s="6"/>
    </row>
    <row r="8" spans="1:5" x14ac:dyDescent="0.35">
      <c r="B8" s="6"/>
    </row>
    <row r="9" spans="1:5" x14ac:dyDescent="0.35">
      <c r="B9" s="6"/>
    </row>
  </sheetData>
  <sheetProtection algorithmName="SHA-512" hashValue="+8zCTvNPBotS2nwb98gqq1dwJnT1ypXeKHy0Q7svexabd9PuQ29kOJTdWKoCdjB6sdHHMIAuFW5RBb+iHWaaXg==" saltValue="+vcmXT5FuKydnI+uKLzeXg==" spinCount="100000" sheet="1" objects="1" scenarios="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35F9-F8EB-49FD-A8A9-7E0679B0506A}">
  <dimension ref="A1:L1322"/>
  <sheetViews>
    <sheetView tabSelected="1" zoomScale="78" workbookViewId="0">
      <pane ySplit="1" topLeftCell="A299" activePane="bottomLeft" state="frozen"/>
      <selection pane="bottomLeft" activeCell="E1" sqref="E1"/>
    </sheetView>
  </sheetViews>
  <sheetFormatPr defaultColWidth="8.7265625" defaultRowHeight="15" customHeight="1" x14ac:dyDescent="0.3"/>
  <cols>
    <col min="1" max="1" width="12.81640625" style="6" customWidth="1"/>
    <col min="2" max="2" width="15" style="6" customWidth="1"/>
    <col min="3" max="3" width="18.1796875" style="6" customWidth="1"/>
    <col min="4" max="4" width="11.1796875" style="6" customWidth="1"/>
    <col min="5" max="5" width="15.7265625" style="6" customWidth="1"/>
    <col min="6" max="6" width="13.81640625" style="6" customWidth="1"/>
    <col min="7" max="7" width="12.453125" style="6" customWidth="1"/>
    <col min="8" max="11" width="8.7265625" style="6"/>
    <col min="12" max="12" width="10.54296875" style="6" customWidth="1"/>
    <col min="13" max="13" width="10.81640625" style="6" customWidth="1"/>
    <col min="14" max="16384" width="8.7265625" style="6"/>
  </cols>
  <sheetData>
    <row r="1" spans="1:12" ht="49.5" customHeight="1" x14ac:dyDescent="0.3">
      <c r="A1" s="6" t="s">
        <v>0</v>
      </c>
      <c r="B1" s="6" t="s">
        <v>1</v>
      </c>
      <c r="C1" s="6" t="s">
        <v>2</v>
      </c>
      <c r="D1" s="11" t="s">
        <v>3</v>
      </c>
      <c r="E1" s="21" t="s">
        <v>4</v>
      </c>
      <c r="F1" s="11" t="s">
        <v>5</v>
      </c>
      <c r="G1" s="11" t="s">
        <v>6</v>
      </c>
      <c r="H1" s="11"/>
      <c r="I1" s="11"/>
    </row>
    <row r="2" spans="1:12" ht="14" x14ac:dyDescent="0.3">
      <c r="A2" s="12">
        <v>40581</v>
      </c>
      <c r="B2" s="13">
        <v>4.1666666666666664E-2</v>
      </c>
      <c r="C2" s="14">
        <v>40581.041666666664</v>
      </c>
      <c r="D2" s="6">
        <v>5.43</v>
      </c>
      <c r="E2" s="6">
        <v>10.02</v>
      </c>
      <c r="F2" s="6">
        <v>17.690000000000001</v>
      </c>
      <c r="G2" s="6">
        <v>0.64</v>
      </c>
      <c r="L2" s="14"/>
    </row>
    <row r="3" spans="1:12" ht="14" x14ac:dyDescent="0.3">
      <c r="A3" s="12">
        <v>40581</v>
      </c>
      <c r="B3" s="13">
        <v>8.3333333333333329E-2</v>
      </c>
      <c r="C3" s="14">
        <v>40581.083333333336</v>
      </c>
      <c r="D3" s="6">
        <v>1.88</v>
      </c>
      <c r="E3" s="6">
        <v>15.2</v>
      </c>
      <c r="F3" s="6">
        <v>17.55</v>
      </c>
      <c r="G3" s="6">
        <v>1.53</v>
      </c>
      <c r="L3" s="14"/>
    </row>
    <row r="4" spans="1:12" ht="14" x14ac:dyDescent="0.3">
      <c r="A4" s="12">
        <v>40581</v>
      </c>
      <c r="B4" s="13">
        <v>0.125</v>
      </c>
      <c r="C4" s="14">
        <v>40581.125</v>
      </c>
      <c r="D4" s="6">
        <v>2.09</v>
      </c>
      <c r="E4" s="6">
        <v>14.91</v>
      </c>
      <c r="F4" s="6">
        <v>17.66</v>
      </c>
      <c r="G4" s="6">
        <v>1.26</v>
      </c>
      <c r="L4" s="14"/>
    </row>
    <row r="5" spans="1:12" ht="14" x14ac:dyDescent="0.3">
      <c r="A5" s="12">
        <v>40581</v>
      </c>
      <c r="B5" s="13">
        <v>0.16666666666666666</v>
      </c>
      <c r="C5" s="14">
        <v>40581.166666666664</v>
      </c>
      <c r="D5" s="6">
        <v>4.0999999999999996</v>
      </c>
      <c r="E5" s="6">
        <v>12.05</v>
      </c>
      <c r="F5" s="6">
        <v>17.96</v>
      </c>
      <c r="G5" s="6">
        <v>1.0900000000000001</v>
      </c>
      <c r="L5" s="14"/>
    </row>
    <row r="6" spans="1:12" ht="14" x14ac:dyDescent="0.3">
      <c r="A6" s="12">
        <v>40581</v>
      </c>
      <c r="B6" s="13">
        <v>0.20833333333333334</v>
      </c>
      <c r="C6" s="14">
        <v>40581.208333506947</v>
      </c>
      <c r="D6" s="6">
        <v>4.25</v>
      </c>
      <c r="E6" s="6">
        <v>12.34</v>
      </c>
      <c r="F6" s="6">
        <v>17.62</v>
      </c>
      <c r="G6" s="6">
        <v>1.1000000000000001</v>
      </c>
      <c r="L6" s="14"/>
    </row>
    <row r="7" spans="1:12" ht="14" x14ac:dyDescent="0.3">
      <c r="A7" s="12">
        <v>40581</v>
      </c>
      <c r="B7" s="13">
        <v>0.25</v>
      </c>
      <c r="C7" s="14">
        <v>40581.250000231485</v>
      </c>
      <c r="D7" s="6">
        <v>6.95</v>
      </c>
      <c r="E7" s="6">
        <v>9.91</v>
      </c>
      <c r="F7" s="6">
        <v>17.66</v>
      </c>
      <c r="G7" s="6">
        <v>1.46</v>
      </c>
      <c r="L7" s="14"/>
    </row>
    <row r="8" spans="1:12" ht="14" x14ac:dyDescent="0.3">
      <c r="A8" s="12">
        <v>40581</v>
      </c>
      <c r="B8" s="13">
        <v>0.29166666666666669</v>
      </c>
      <c r="C8" s="14">
        <v>40581.291666956022</v>
      </c>
      <c r="D8" s="6">
        <v>8.6999999999999993</v>
      </c>
      <c r="E8" s="6">
        <v>9.5299999999999994</v>
      </c>
      <c r="F8" s="6">
        <v>17.53</v>
      </c>
      <c r="G8" s="6">
        <v>1.59</v>
      </c>
      <c r="L8" s="14"/>
    </row>
    <row r="9" spans="1:12" ht="14" x14ac:dyDescent="0.3">
      <c r="A9" s="12">
        <v>40581</v>
      </c>
      <c r="B9" s="13">
        <v>0.33333333333333331</v>
      </c>
      <c r="C9" s="14">
        <v>40581.333333680559</v>
      </c>
      <c r="D9" s="6">
        <v>8.4600000000000009</v>
      </c>
      <c r="E9" s="6">
        <v>10.56</v>
      </c>
      <c r="F9" s="6">
        <v>18.27</v>
      </c>
      <c r="G9" s="6">
        <v>1.21</v>
      </c>
      <c r="L9" s="14"/>
    </row>
    <row r="10" spans="1:12" ht="14" x14ac:dyDescent="0.3">
      <c r="A10" s="12">
        <v>40581</v>
      </c>
      <c r="B10" s="13">
        <v>0.375</v>
      </c>
      <c r="C10" s="14">
        <v>40581.375000405096</v>
      </c>
      <c r="D10" s="6">
        <v>9.16</v>
      </c>
      <c r="E10" s="6">
        <v>11.14</v>
      </c>
      <c r="F10" s="6">
        <v>19.09</v>
      </c>
      <c r="G10" s="6">
        <v>1.27</v>
      </c>
      <c r="L10" s="14"/>
    </row>
    <row r="11" spans="1:12" ht="14" x14ac:dyDescent="0.3">
      <c r="A11" s="12">
        <v>40581</v>
      </c>
      <c r="B11" s="13">
        <v>0.41666666666666669</v>
      </c>
      <c r="C11" s="14">
        <v>40581.416667129626</v>
      </c>
      <c r="D11" s="6">
        <v>10.53</v>
      </c>
      <c r="E11" s="6">
        <v>11.69</v>
      </c>
      <c r="F11" s="6">
        <v>19.96</v>
      </c>
      <c r="G11" s="6">
        <v>0.61</v>
      </c>
      <c r="L11" s="14"/>
    </row>
    <row r="12" spans="1:12" ht="14" x14ac:dyDescent="0.3">
      <c r="A12" s="12">
        <v>40581</v>
      </c>
      <c r="B12" s="13">
        <v>0.45833333333333331</v>
      </c>
      <c r="C12" s="14">
        <v>40581.458333854163</v>
      </c>
      <c r="D12" s="6">
        <v>13.34</v>
      </c>
      <c r="E12" s="6">
        <v>12.48</v>
      </c>
      <c r="F12" s="6">
        <v>20.75</v>
      </c>
      <c r="G12" s="6">
        <v>0.49</v>
      </c>
      <c r="L12" s="14"/>
    </row>
    <row r="13" spans="1:12" ht="14" x14ac:dyDescent="0.3">
      <c r="A13" s="12">
        <v>40581</v>
      </c>
      <c r="B13" s="13">
        <v>0.5</v>
      </c>
      <c r="C13" s="14">
        <v>40581.500000578701</v>
      </c>
      <c r="D13" s="6">
        <v>11.11</v>
      </c>
      <c r="E13" s="6">
        <v>17.510000000000002</v>
      </c>
      <c r="F13" s="6">
        <v>22.04</v>
      </c>
      <c r="G13" s="6">
        <v>0.72</v>
      </c>
      <c r="L13" s="14"/>
    </row>
    <row r="14" spans="1:12" ht="14" x14ac:dyDescent="0.3">
      <c r="A14" s="12">
        <v>40581</v>
      </c>
      <c r="B14" s="13">
        <v>0.54166666666666663</v>
      </c>
      <c r="C14" s="14">
        <v>40581.541667303238</v>
      </c>
      <c r="D14" s="6">
        <v>6.32</v>
      </c>
      <c r="E14" s="6">
        <v>21.62</v>
      </c>
      <c r="F14" s="6">
        <v>22.58</v>
      </c>
      <c r="G14" s="6">
        <v>0.94</v>
      </c>
      <c r="L14" s="14"/>
    </row>
    <row r="15" spans="1:12" ht="14" x14ac:dyDescent="0.3">
      <c r="A15" s="12">
        <v>40581</v>
      </c>
      <c r="B15" s="13">
        <v>0.58333333333333337</v>
      </c>
      <c r="C15" s="14">
        <v>40581.583334027775</v>
      </c>
      <c r="D15" s="6">
        <v>8.74</v>
      </c>
      <c r="E15" s="6">
        <v>20.07</v>
      </c>
      <c r="F15" s="6">
        <v>22.43</v>
      </c>
      <c r="G15" s="6">
        <v>1.69</v>
      </c>
      <c r="L15" s="14"/>
    </row>
    <row r="16" spans="1:12" ht="14" x14ac:dyDescent="0.3">
      <c r="A16" s="12">
        <v>40581</v>
      </c>
      <c r="B16" s="13">
        <v>0.625</v>
      </c>
      <c r="C16" s="14">
        <v>40581.625000752312</v>
      </c>
      <c r="D16" s="6">
        <v>13.75</v>
      </c>
      <c r="E16" s="6">
        <v>17.510000000000002</v>
      </c>
      <c r="F16" s="6">
        <v>21.51</v>
      </c>
      <c r="G16" s="6">
        <v>2.52</v>
      </c>
      <c r="L16" s="14"/>
    </row>
    <row r="17" spans="1:12" ht="14" x14ac:dyDescent="0.3">
      <c r="A17" s="12">
        <v>40581</v>
      </c>
      <c r="B17" s="13">
        <v>0.66666666666666663</v>
      </c>
      <c r="C17" s="14">
        <v>40581.666667476849</v>
      </c>
      <c r="D17" s="6">
        <v>8.19</v>
      </c>
      <c r="E17" s="6">
        <v>18</v>
      </c>
      <c r="F17" s="6">
        <v>21.41</v>
      </c>
      <c r="G17" s="6">
        <v>2.54</v>
      </c>
      <c r="L17" s="14"/>
    </row>
    <row r="18" spans="1:12" ht="14" x14ac:dyDescent="0.3">
      <c r="A18" s="12">
        <v>40581</v>
      </c>
      <c r="B18" s="13">
        <v>0.70833333333333337</v>
      </c>
      <c r="C18" s="14">
        <v>40581.708334201387</v>
      </c>
      <c r="D18" s="6">
        <v>11.21</v>
      </c>
      <c r="E18" s="6">
        <v>14.7</v>
      </c>
      <c r="F18" s="6">
        <v>20.88</v>
      </c>
      <c r="G18" s="6">
        <v>2.7</v>
      </c>
      <c r="L18" s="14"/>
    </row>
    <row r="19" spans="1:12" ht="14" x14ac:dyDescent="0.3">
      <c r="A19" s="12">
        <v>40581</v>
      </c>
      <c r="B19" s="13">
        <v>0.75</v>
      </c>
      <c r="C19" s="14">
        <v>40581.750000925924</v>
      </c>
      <c r="D19" s="6">
        <v>9.65</v>
      </c>
      <c r="E19" s="6">
        <v>12.77</v>
      </c>
      <c r="F19" s="6">
        <v>20.65</v>
      </c>
      <c r="G19" s="6">
        <v>2.29</v>
      </c>
      <c r="L19" s="14"/>
    </row>
    <row r="20" spans="1:12" ht="14" x14ac:dyDescent="0.3">
      <c r="A20" s="12">
        <v>40581</v>
      </c>
      <c r="B20" s="13">
        <v>0.79166666666666663</v>
      </c>
      <c r="C20" s="14">
        <v>40581.791667650461</v>
      </c>
      <c r="D20" s="6">
        <v>7.24</v>
      </c>
      <c r="E20" s="6">
        <v>13.33</v>
      </c>
      <c r="F20" s="6">
        <v>20.5</v>
      </c>
      <c r="G20" s="6">
        <v>1.48</v>
      </c>
      <c r="L20" s="14"/>
    </row>
    <row r="21" spans="1:12" ht="14" x14ac:dyDescent="0.3">
      <c r="A21" s="12">
        <v>40581</v>
      </c>
      <c r="B21" s="13">
        <v>0.83333333333333337</v>
      </c>
      <c r="C21" s="14">
        <v>40581.833334374998</v>
      </c>
      <c r="D21" s="6">
        <v>7.04</v>
      </c>
      <c r="E21" s="6">
        <v>13.01</v>
      </c>
      <c r="F21" s="6">
        <v>20.399999999999999</v>
      </c>
      <c r="G21" s="6">
        <v>1.28</v>
      </c>
      <c r="L21" s="14"/>
    </row>
    <row r="22" spans="1:12" ht="14" x14ac:dyDescent="0.3">
      <c r="A22" s="12">
        <v>40581</v>
      </c>
      <c r="B22" s="13">
        <v>0.875</v>
      </c>
      <c r="C22" s="14">
        <v>40581.875001099535</v>
      </c>
      <c r="D22" s="6">
        <v>5.61</v>
      </c>
      <c r="E22" s="6">
        <v>14.64</v>
      </c>
      <c r="F22" s="6">
        <v>20.010000000000002</v>
      </c>
      <c r="G22" s="6">
        <v>1.45</v>
      </c>
      <c r="L22" s="14"/>
    </row>
    <row r="23" spans="1:12" ht="14" x14ac:dyDescent="0.3">
      <c r="A23" s="12">
        <v>40581</v>
      </c>
      <c r="B23" s="13">
        <v>0.91666666666666663</v>
      </c>
      <c r="C23" s="14">
        <v>40581.916667824073</v>
      </c>
      <c r="D23" s="6">
        <v>3.72</v>
      </c>
      <c r="E23" s="6">
        <v>16.350000000000001</v>
      </c>
      <c r="F23" s="6">
        <v>20</v>
      </c>
      <c r="G23" s="6">
        <v>0.84</v>
      </c>
      <c r="L23" s="14"/>
    </row>
    <row r="24" spans="1:12" ht="14" x14ac:dyDescent="0.3">
      <c r="A24" s="12">
        <v>40581</v>
      </c>
      <c r="B24" s="13">
        <v>0.95833333333333337</v>
      </c>
      <c r="C24" s="14">
        <v>40581.95833454861</v>
      </c>
      <c r="D24" s="6">
        <v>4.1399999999999997</v>
      </c>
      <c r="E24" s="6">
        <v>15.36</v>
      </c>
      <c r="F24" s="6">
        <v>20.04</v>
      </c>
      <c r="G24" s="6">
        <v>0.15</v>
      </c>
      <c r="L24" s="14"/>
    </row>
    <row r="25" spans="1:12" ht="14" x14ac:dyDescent="0.3">
      <c r="A25" s="12">
        <v>40582</v>
      </c>
      <c r="B25" s="20" t="s">
        <v>29</v>
      </c>
      <c r="C25" s="14">
        <v>40582.000001273147</v>
      </c>
      <c r="D25" s="6">
        <v>3.84</v>
      </c>
      <c r="E25" s="6">
        <v>14.28</v>
      </c>
      <c r="F25" s="6">
        <v>19.850000000000001</v>
      </c>
      <c r="G25" s="6">
        <v>0.23</v>
      </c>
      <c r="L25" s="14"/>
    </row>
    <row r="26" spans="1:12" ht="14" x14ac:dyDescent="0.3">
      <c r="A26" s="12">
        <v>40582</v>
      </c>
      <c r="B26" s="13">
        <v>4.1666666666666664E-2</v>
      </c>
      <c r="C26" s="14">
        <v>40582.041667997684</v>
      </c>
      <c r="D26" s="6">
        <v>7.82</v>
      </c>
      <c r="E26" s="6">
        <v>10.210000000000001</v>
      </c>
      <c r="F26" s="6">
        <v>19.61</v>
      </c>
      <c r="G26" s="6">
        <v>0.71</v>
      </c>
      <c r="L26" s="14"/>
    </row>
    <row r="27" spans="1:12" ht="14" x14ac:dyDescent="0.3">
      <c r="A27" s="12">
        <v>40582</v>
      </c>
      <c r="B27" s="13">
        <v>8.3333333333333329E-2</v>
      </c>
      <c r="C27" s="14">
        <v>40582.083334722221</v>
      </c>
      <c r="D27" s="6">
        <v>6.29</v>
      </c>
      <c r="E27" s="6">
        <v>11.95</v>
      </c>
      <c r="F27" s="6">
        <v>19.34</v>
      </c>
      <c r="G27" s="6">
        <v>0.54</v>
      </c>
      <c r="L27" s="14"/>
    </row>
    <row r="28" spans="1:12" ht="14" x14ac:dyDescent="0.3">
      <c r="A28" s="12">
        <v>40582</v>
      </c>
      <c r="B28" s="13">
        <v>0.125</v>
      </c>
      <c r="C28" s="14">
        <v>40582.125001446759</v>
      </c>
      <c r="D28" s="6">
        <v>6.53</v>
      </c>
      <c r="E28" s="6">
        <v>10.86</v>
      </c>
      <c r="F28" s="6">
        <v>18.09</v>
      </c>
      <c r="G28" s="6">
        <v>0.2</v>
      </c>
      <c r="L28" s="14"/>
    </row>
    <row r="29" spans="1:12" ht="14" x14ac:dyDescent="0.3">
      <c r="A29" s="12">
        <v>40582</v>
      </c>
      <c r="B29" s="13">
        <v>0.16666666666666666</v>
      </c>
      <c r="C29" s="14">
        <v>40582.166668171296</v>
      </c>
      <c r="D29" s="6">
        <v>9.31</v>
      </c>
      <c r="E29" s="6">
        <v>6.33</v>
      </c>
      <c r="F29" s="6">
        <v>17.29</v>
      </c>
      <c r="G29" s="6">
        <v>0.31</v>
      </c>
      <c r="L29" s="14"/>
    </row>
    <row r="30" spans="1:12" ht="14" x14ac:dyDescent="0.3">
      <c r="A30" s="12">
        <v>40582</v>
      </c>
      <c r="B30" s="13">
        <v>0.20833333333333334</v>
      </c>
      <c r="C30" s="14">
        <v>40582.208334895833</v>
      </c>
      <c r="D30" s="6">
        <v>19.93</v>
      </c>
      <c r="E30" s="6">
        <v>0.71</v>
      </c>
      <c r="F30" s="6">
        <v>17.989999999999998</v>
      </c>
      <c r="G30" s="6">
        <v>0.3</v>
      </c>
      <c r="L30" s="14"/>
    </row>
    <row r="31" spans="1:12" ht="14" x14ac:dyDescent="0.3">
      <c r="A31" s="12">
        <v>40582</v>
      </c>
      <c r="B31" s="13">
        <v>0.25</v>
      </c>
      <c r="C31" s="14">
        <v>40582.25000162037</v>
      </c>
      <c r="D31" s="6">
        <v>21.62</v>
      </c>
      <c r="E31" s="6">
        <v>0.51</v>
      </c>
      <c r="F31" s="6">
        <v>17.36</v>
      </c>
      <c r="G31" s="6">
        <v>0.12</v>
      </c>
      <c r="L31" s="14"/>
    </row>
    <row r="32" spans="1:12" ht="14" x14ac:dyDescent="0.3">
      <c r="A32" s="12">
        <v>40582</v>
      </c>
      <c r="B32" s="13">
        <v>0.29166666666666669</v>
      </c>
      <c r="C32" s="14">
        <v>40582.291668344908</v>
      </c>
      <c r="D32" s="6">
        <v>51.08</v>
      </c>
      <c r="E32" s="6">
        <v>1.37</v>
      </c>
      <c r="F32" s="6">
        <v>18.96</v>
      </c>
      <c r="G32" s="6">
        <v>0.22</v>
      </c>
      <c r="L32" s="14"/>
    </row>
    <row r="33" spans="1:12" ht="14" x14ac:dyDescent="0.3">
      <c r="A33" s="12">
        <v>40582</v>
      </c>
      <c r="B33" s="13">
        <v>0.33333333333333331</v>
      </c>
      <c r="C33" s="14">
        <v>40582.333335069445</v>
      </c>
      <c r="D33" s="6">
        <v>30.45</v>
      </c>
      <c r="E33" s="6">
        <v>6.33</v>
      </c>
      <c r="F33" s="6">
        <v>22.01</v>
      </c>
      <c r="G33" s="6">
        <v>1</v>
      </c>
      <c r="L33" s="14"/>
    </row>
    <row r="34" spans="1:12" ht="14" x14ac:dyDescent="0.3">
      <c r="A34" s="12">
        <v>40582</v>
      </c>
      <c r="B34" s="13">
        <v>0.375</v>
      </c>
      <c r="C34" s="14">
        <v>40582.375001793982</v>
      </c>
      <c r="D34" s="6">
        <v>16.079999999999998</v>
      </c>
      <c r="E34" s="6">
        <v>12.44</v>
      </c>
      <c r="F34" s="6">
        <v>21.98</v>
      </c>
      <c r="G34" s="6">
        <v>1.1399999999999999</v>
      </c>
      <c r="L34" s="14"/>
    </row>
    <row r="35" spans="1:12" ht="14" x14ac:dyDescent="0.3">
      <c r="A35" s="12">
        <v>40582</v>
      </c>
      <c r="B35" s="13">
        <v>0.41666666666666669</v>
      </c>
      <c r="C35" s="14">
        <v>40582.416668518519</v>
      </c>
      <c r="D35" s="6">
        <v>17.36</v>
      </c>
      <c r="E35" s="6">
        <v>13.35</v>
      </c>
      <c r="F35" s="6">
        <v>22.55</v>
      </c>
      <c r="G35" s="6">
        <v>1.05</v>
      </c>
      <c r="L35" s="14"/>
    </row>
    <row r="36" spans="1:12" ht="14" x14ac:dyDescent="0.3">
      <c r="A36" s="12">
        <v>40582</v>
      </c>
      <c r="B36" s="13">
        <v>0.45833333333333331</v>
      </c>
      <c r="C36" s="14">
        <v>40582.458335243056</v>
      </c>
      <c r="D36" s="6">
        <v>12.65</v>
      </c>
      <c r="E36" s="6">
        <v>17.98</v>
      </c>
      <c r="F36" s="6">
        <v>23.37</v>
      </c>
      <c r="G36" s="6">
        <v>1.35</v>
      </c>
      <c r="L36" s="14"/>
    </row>
    <row r="37" spans="1:12" ht="14" x14ac:dyDescent="0.3">
      <c r="A37" s="12">
        <v>40582</v>
      </c>
      <c r="B37" s="13">
        <v>0.5</v>
      </c>
      <c r="C37" s="14">
        <v>40582.500001967594</v>
      </c>
      <c r="D37" s="6">
        <v>12.04</v>
      </c>
      <c r="E37" s="6">
        <v>18.66</v>
      </c>
      <c r="F37" s="6">
        <v>23.24</v>
      </c>
      <c r="G37" s="6">
        <v>2.4900000000000002</v>
      </c>
      <c r="L37" s="14"/>
    </row>
    <row r="38" spans="1:12" ht="14" x14ac:dyDescent="0.3">
      <c r="A38" s="12">
        <v>40582</v>
      </c>
      <c r="B38" s="13">
        <v>0.54166666666666663</v>
      </c>
      <c r="C38" s="14">
        <v>40582.541668692131</v>
      </c>
      <c r="D38" s="6">
        <v>8.58</v>
      </c>
      <c r="E38" s="6">
        <v>21.35</v>
      </c>
      <c r="F38" s="6">
        <v>23.38</v>
      </c>
      <c r="G38" s="6">
        <v>3.37</v>
      </c>
      <c r="L38" s="14"/>
    </row>
    <row r="39" spans="1:12" ht="14" x14ac:dyDescent="0.3">
      <c r="A39" s="12">
        <v>40582</v>
      </c>
      <c r="B39" s="13">
        <v>0.58333333333333337</v>
      </c>
      <c r="C39" s="14">
        <v>40582.583335416668</v>
      </c>
      <c r="D39" s="6">
        <v>7.91</v>
      </c>
      <c r="E39" s="6">
        <v>21.58</v>
      </c>
      <c r="F39" s="6">
        <v>23.48</v>
      </c>
      <c r="G39" s="6">
        <v>3.27</v>
      </c>
      <c r="L39" s="14"/>
    </row>
    <row r="40" spans="1:12" ht="14" x14ac:dyDescent="0.3">
      <c r="A40" s="12">
        <v>40582</v>
      </c>
      <c r="B40" s="13">
        <v>0.625</v>
      </c>
      <c r="C40" s="14">
        <v>40582.625002141205</v>
      </c>
      <c r="D40" s="6">
        <v>4.43</v>
      </c>
      <c r="E40" s="6">
        <v>24.28</v>
      </c>
      <c r="F40" s="6">
        <v>24.35</v>
      </c>
      <c r="G40" s="6">
        <v>3.16</v>
      </c>
      <c r="L40" s="14"/>
    </row>
    <row r="41" spans="1:12" ht="14" x14ac:dyDescent="0.3">
      <c r="A41" s="12">
        <v>40582</v>
      </c>
      <c r="B41" s="13">
        <v>0.66666666666666663</v>
      </c>
      <c r="C41" s="14">
        <v>40582.666668865742</v>
      </c>
      <c r="D41" s="6">
        <v>5.21</v>
      </c>
      <c r="E41" s="6">
        <v>25.27</v>
      </c>
      <c r="F41" s="6">
        <v>24.39</v>
      </c>
      <c r="G41" s="6">
        <v>2.73</v>
      </c>
      <c r="L41" s="14"/>
    </row>
    <row r="42" spans="1:12" ht="14" x14ac:dyDescent="0.3">
      <c r="A42" s="12">
        <v>40582</v>
      </c>
      <c r="B42" s="13">
        <v>0.70833333333333337</v>
      </c>
      <c r="C42" s="14">
        <v>40582.70833559028</v>
      </c>
      <c r="D42" s="6">
        <v>6.03</v>
      </c>
      <c r="E42" s="6">
        <v>23.21</v>
      </c>
      <c r="F42" s="6">
        <v>23.47</v>
      </c>
      <c r="G42" s="6">
        <v>3.1</v>
      </c>
      <c r="L42" s="14"/>
    </row>
    <row r="43" spans="1:12" ht="14" x14ac:dyDescent="0.3">
      <c r="A43" s="12">
        <v>40582</v>
      </c>
      <c r="B43" s="13">
        <v>0.75</v>
      </c>
      <c r="C43" s="14">
        <v>40582.750002314817</v>
      </c>
      <c r="D43" s="6">
        <v>5.67</v>
      </c>
      <c r="E43" s="6">
        <v>21.42</v>
      </c>
      <c r="F43" s="6">
        <v>22.73</v>
      </c>
      <c r="G43" s="6">
        <v>3</v>
      </c>
      <c r="L43" s="14"/>
    </row>
    <row r="44" spans="1:12" ht="14" x14ac:dyDescent="0.3">
      <c r="A44" s="12">
        <v>40582</v>
      </c>
      <c r="B44" s="13">
        <v>0.79166666666666663</v>
      </c>
      <c r="C44" s="14">
        <v>40582.791669039354</v>
      </c>
      <c r="D44" s="6">
        <v>5.51</v>
      </c>
      <c r="E44" s="6">
        <v>19.22</v>
      </c>
      <c r="F44" s="6">
        <v>22.3</v>
      </c>
      <c r="G44" s="6">
        <v>2.1</v>
      </c>
      <c r="L44" s="14"/>
    </row>
    <row r="45" spans="1:12" ht="14" x14ac:dyDescent="0.3">
      <c r="A45" s="12">
        <v>40582</v>
      </c>
      <c r="B45" s="13">
        <v>0.83333333333333337</v>
      </c>
      <c r="C45" s="14">
        <v>40582.833335763891</v>
      </c>
      <c r="D45" s="6">
        <v>5.55</v>
      </c>
      <c r="E45" s="6">
        <v>18.96</v>
      </c>
      <c r="F45" s="6">
        <v>21.93</v>
      </c>
      <c r="G45" s="6">
        <v>1.81</v>
      </c>
      <c r="L45" s="14"/>
    </row>
    <row r="46" spans="1:12" ht="14" x14ac:dyDescent="0.3">
      <c r="A46" s="12">
        <v>40582</v>
      </c>
      <c r="B46" s="13">
        <v>0.875</v>
      </c>
      <c r="C46" s="14">
        <v>40582.875002488428</v>
      </c>
      <c r="D46" s="6">
        <v>5.61</v>
      </c>
      <c r="E46" s="6">
        <v>17.739999999999998</v>
      </c>
      <c r="F46" s="6">
        <v>21.91</v>
      </c>
      <c r="G46" s="6">
        <v>1.44</v>
      </c>
      <c r="L46" s="14"/>
    </row>
    <row r="47" spans="1:12" ht="14" x14ac:dyDescent="0.3">
      <c r="A47" s="12">
        <v>40582</v>
      </c>
      <c r="B47" s="13">
        <v>0.91666666666666663</v>
      </c>
      <c r="C47" s="14">
        <v>40582.916669212966</v>
      </c>
      <c r="D47" s="6">
        <v>8.6999999999999993</v>
      </c>
      <c r="E47" s="6">
        <v>14.04</v>
      </c>
      <c r="F47" s="6">
        <v>21.74</v>
      </c>
      <c r="G47" s="6">
        <v>1.61</v>
      </c>
      <c r="L47" s="14"/>
    </row>
    <row r="48" spans="1:12" ht="14" x14ac:dyDescent="0.3">
      <c r="A48" s="12">
        <v>40582</v>
      </c>
      <c r="B48" s="13">
        <v>0.95833333333333337</v>
      </c>
      <c r="C48" s="14">
        <v>40582.958335937503</v>
      </c>
      <c r="D48" s="6">
        <v>6.77</v>
      </c>
      <c r="E48" s="6">
        <v>13.95</v>
      </c>
      <c r="F48" s="6">
        <v>21.55</v>
      </c>
      <c r="G48" s="6">
        <v>1.77</v>
      </c>
      <c r="L48" s="14"/>
    </row>
    <row r="49" spans="1:12" ht="14.5" x14ac:dyDescent="0.35">
      <c r="A49" s="12">
        <v>40583</v>
      </c>
      <c r="B49" s="19" t="s">
        <v>29</v>
      </c>
      <c r="C49" s="14">
        <v>40583.00000266204</v>
      </c>
      <c r="D49" s="6">
        <v>9.5500000000000007</v>
      </c>
      <c r="E49" s="6">
        <v>11.81</v>
      </c>
      <c r="F49" s="6">
        <v>21.43</v>
      </c>
      <c r="G49" s="6">
        <v>1.22</v>
      </c>
      <c r="L49" s="14"/>
    </row>
    <row r="50" spans="1:12" ht="14" x14ac:dyDescent="0.3">
      <c r="A50" s="12">
        <v>40583</v>
      </c>
      <c r="B50" s="13">
        <v>4.1666666666666664E-2</v>
      </c>
      <c r="C50" s="14">
        <v>40583.041669386577</v>
      </c>
      <c r="D50" s="6">
        <v>6.16</v>
      </c>
      <c r="E50" s="6">
        <v>14.23</v>
      </c>
      <c r="F50" s="6">
        <v>20.92</v>
      </c>
      <c r="G50" s="6">
        <v>1.43</v>
      </c>
      <c r="L50" s="14"/>
    </row>
    <row r="51" spans="1:12" ht="14" x14ac:dyDescent="0.3">
      <c r="A51" s="12">
        <v>40583</v>
      </c>
      <c r="B51" s="13">
        <v>8.3333333333333329E-2</v>
      </c>
      <c r="C51" s="14">
        <v>40583.083336111114</v>
      </c>
      <c r="D51" s="6">
        <v>4.24</v>
      </c>
      <c r="E51" s="6">
        <v>15.72</v>
      </c>
      <c r="F51" s="6">
        <v>20.11</v>
      </c>
      <c r="G51" s="6">
        <v>1.36</v>
      </c>
      <c r="L51" s="14"/>
    </row>
    <row r="52" spans="1:12" ht="14" x14ac:dyDescent="0.3">
      <c r="A52" s="12">
        <v>40583</v>
      </c>
      <c r="B52" s="13">
        <v>0.125</v>
      </c>
      <c r="C52" s="14">
        <v>40583.125002835652</v>
      </c>
      <c r="D52" s="6">
        <v>3.98</v>
      </c>
      <c r="E52" s="6">
        <v>14.99</v>
      </c>
      <c r="F52" s="6">
        <v>19.760000000000002</v>
      </c>
      <c r="G52" s="6">
        <v>0.99</v>
      </c>
      <c r="L52" s="14"/>
    </row>
    <row r="53" spans="1:12" ht="14" x14ac:dyDescent="0.3">
      <c r="A53" s="12">
        <v>40583</v>
      </c>
      <c r="B53" s="13">
        <v>0.16666666666666666</v>
      </c>
      <c r="C53" s="14">
        <v>40583.166669560182</v>
      </c>
      <c r="D53" s="6">
        <v>5.45</v>
      </c>
      <c r="E53" s="6">
        <v>12.61</v>
      </c>
      <c r="F53" s="6">
        <v>19.22</v>
      </c>
      <c r="G53" s="6">
        <v>0.93</v>
      </c>
      <c r="L53" s="14"/>
    </row>
    <row r="54" spans="1:12" ht="14" x14ac:dyDescent="0.3">
      <c r="A54" s="12">
        <v>40583</v>
      </c>
      <c r="B54" s="13">
        <v>0.20833333333333334</v>
      </c>
      <c r="C54" s="14">
        <v>40583.208336284719</v>
      </c>
      <c r="D54" s="6">
        <v>10.46</v>
      </c>
      <c r="E54" s="6">
        <v>8.18</v>
      </c>
      <c r="F54" s="6">
        <v>18.12</v>
      </c>
      <c r="G54" s="6">
        <v>0.66</v>
      </c>
      <c r="L54" s="14"/>
    </row>
    <row r="55" spans="1:12" ht="14" x14ac:dyDescent="0.3">
      <c r="A55" s="12">
        <v>40583</v>
      </c>
      <c r="B55" s="13">
        <v>0.25</v>
      </c>
      <c r="C55" s="14">
        <v>40583.250003009256</v>
      </c>
      <c r="D55" s="6">
        <v>21.4</v>
      </c>
      <c r="E55" s="6">
        <v>1.19</v>
      </c>
      <c r="F55" s="6">
        <v>17.079999999999998</v>
      </c>
      <c r="G55" s="6">
        <v>0.18</v>
      </c>
      <c r="L55" s="14"/>
    </row>
    <row r="56" spans="1:12" ht="14" x14ac:dyDescent="0.3">
      <c r="A56" s="12">
        <v>40583</v>
      </c>
      <c r="B56" s="13">
        <v>0.29166666666666669</v>
      </c>
      <c r="C56" s="14">
        <v>40583.291669733793</v>
      </c>
      <c r="D56" s="6">
        <v>32.090000000000003</v>
      </c>
      <c r="E56" s="6">
        <v>2.72</v>
      </c>
      <c r="F56" s="6">
        <v>18.79</v>
      </c>
      <c r="G56" s="6">
        <v>0.67</v>
      </c>
      <c r="L56" s="14"/>
    </row>
    <row r="57" spans="1:12" ht="14" x14ac:dyDescent="0.3">
      <c r="A57" s="12">
        <v>40583</v>
      </c>
      <c r="B57" s="13">
        <v>0.33333333333333331</v>
      </c>
      <c r="C57" s="14">
        <v>40583.33333645833</v>
      </c>
      <c r="D57" s="6">
        <v>18.3</v>
      </c>
      <c r="E57" s="6">
        <v>8.66</v>
      </c>
      <c r="F57" s="6">
        <v>21.37</v>
      </c>
      <c r="G57" s="6">
        <v>1.1000000000000001</v>
      </c>
      <c r="L57" s="14"/>
    </row>
    <row r="58" spans="1:12" ht="14" x14ac:dyDescent="0.3">
      <c r="A58" s="12">
        <v>40583</v>
      </c>
      <c r="B58" s="13">
        <v>0.375</v>
      </c>
      <c r="C58" s="14">
        <v>40583.375003182868</v>
      </c>
      <c r="D58" s="6">
        <v>16.14</v>
      </c>
      <c r="E58" s="6">
        <v>10.89</v>
      </c>
      <c r="F58" s="6">
        <v>22.1</v>
      </c>
      <c r="G58" s="6">
        <v>1.6</v>
      </c>
      <c r="L58" s="14"/>
    </row>
    <row r="59" spans="1:12" ht="14" x14ac:dyDescent="0.3">
      <c r="A59" s="12">
        <v>40583</v>
      </c>
      <c r="B59" s="13">
        <v>0.41666666666666669</v>
      </c>
      <c r="C59" s="14">
        <v>40583.416669907405</v>
      </c>
      <c r="D59" s="6">
        <v>10.75</v>
      </c>
      <c r="E59" s="6">
        <v>15.17</v>
      </c>
      <c r="F59" s="6">
        <v>23.12</v>
      </c>
      <c r="G59" s="6">
        <v>1.41</v>
      </c>
      <c r="L59" s="14"/>
    </row>
    <row r="60" spans="1:12" ht="14" x14ac:dyDescent="0.3">
      <c r="A60" s="12">
        <v>40583</v>
      </c>
      <c r="B60" s="13">
        <v>0.45833333333333331</v>
      </c>
      <c r="C60" s="14">
        <v>40583.458336631942</v>
      </c>
      <c r="D60" s="6">
        <v>10.39</v>
      </c>
      <c r="E60" s="6">
        <v>16.64</v>
      </c>
      <c r="F60" s="6">
        <v>23.21</v>
      </c>
      <c r="G60" s="6">
        <v>1.55</v>
      </c>
      <c r="L60" s="14"/>
    </row>
    <row r="61" spans="1:12" ht="14" x14ac:dyDescent="0.3">
      <c r="A61" s="12">
        <v>40583</v>
      </c>
      <c r="B61" s="13">
        <v>0.5</v>
      </c>
      <c r="C61" s="14">
        <v>40583.500003356479</v>
      </c>
      <c r="D61" s="6">
        <v>8.0399999999999991</v>
      </c>
      <c r="E61" s="6">
        <v>17.809999999999999</v>
      </c>
      <c r="F61" s="6">
        <v>22.25</v>
      </c>
      <c r="G61" s="6">
        <v>1.64</v>
      </c>
      <c r="L61" s="14"/>
    </row>
    <row r="62" spans="1:12" ht="14" x14ac:dyDescent="0.3">
      <c r="A62" s="12">
        <v>40583</v>
      </c>
      <c r="B62" s="13">
        <v>0.54166666666666663</v>
      </c>
      <c r="C62" s="14">
        <v>40583.541670081016</v>
      </c>
      <c r="D62" s="6">
        <v>8.5399999999999991</v>
      </c>
      <c r="E62" s="6">
        <v>17.71</v>
      </c>
      <c r="F62" s="6">
        <v>23.39</v>
      </c>
      <c r="G62" s="6">
        <v>0.27</v>
      </c>
      <c r="L62" s="14"/>
    </row>
    <row r="63" spans="1:12" ht="14" x14ac:dyDescent="0.3">
      <c r="A63" s="12">
        <v>40583</v>
      </c>
      <c r="B63" s="13">
        <v>0.58333333333333337</v>
      </c>
      <c r="C63" s="14">
        <v>40583.583336805554</v>
      </c>
      <c r="D63" s="6">
        <v>8.34</v>
      </c>
      <c r="E63" s="6">
        <v>23.55</v>
      </c>
      <c r="F63" s="6">
        <v>23.85</v>
      </c>
      <c r="G63" s="6">
        <v>1.99</v>
      </c>
      <c r="L63" s="14"/>
    </row>
    <row r="64" spans="1:12" ht="14" x14ac:dyDescent="0.3">
      <c r="A64" s="12">
        <v>40583</v>
      </c>
      <c r="B64" s="13">
        <v>0.625</v>
      </c>
      <c r="C64" s="14">
        <v>40583.625003530091</v>
      </c>
      <c r="D64" s="6">
        <v>6.66</v>
      </c>
      <c r="E64" s="6">
        <v>20.82</v>
      </c>
      <c r="F64" s="6">
        <v>23.6</v>
      </c>
      <c r="G64" s="6">
        <v>2.83</v>
      </c>
      <c r="L64" s="14"/>
    </row>
    <row r="65" spans="1:12" ht="14" x14ac:dyDescent="0.3">
      <c r="A65" s="12">
        <v>40583</v>
      </c>
      <c r="B65" s="13">
        <v>0.66666666666666663</v>
      </c>
      <c r="C65" s="14">
        <v>40583.666670254628</v>
      </c>
      <c r="D65" s="6">
        <v>3.92</v>
      </c>
      <c r="E65" s="6">
        <v>16.66</v>
      </c>
      <c r="F65" s="6">
        <v>23.33</v>
      </c>
      <c r="G65" s="6">
        <v>2.91</v>
      </c>
      <c r="L65" s="14"/>
    </row>
    <row r="66" spans="1:12" ht="14" x14ac:dyDescent="0.3">
      <c r="A66" s="12">
        <v>40583</v>
      </c>
      <c r="B66" s="13">
        <v>0.70833333333333337</v>
      </c>
      <c r="C66" s="14">
        <v>40583.708336979165</v>
      </c>
      <c r="D66" s="6">
        <v>4.88</v>
      </c>
      <c r="E66" s="6">
        <v>15.12</v>
      </c>
      <c r="F66" s="6">
        <v>23.48</v>
      </c>
      <c r="G66" s="6">
        <v>3</v>
      </c>
      <c r="L66" s="14"/>
    </row>
    <row r="67" spans="1:12" ht="14" x14ac:dyDescent="0.3">
      <c r="A67" s="12">
        <v>40583</v>
      </c>
      <c r="B67" s="13">
        <v>0.75</v>
      </c>
      <c r="C67" s="14">
        <v>40583.750003703703</v>
      </c>
      <c r="D67" s="6">
        <v>3.98</v>
      </c>
      <c r="E67" s="6">
        <v>13.91</v>
      </c>
      <c r="F67" s="6">
        <v>22.97</v>
      </c>
      <c r="G67" s="6">
        <v>2.79</v>
      </c>
      <c r="L67" s="14"/>
    </row>
    <row r="68" spans="1:12" ht="14" x14ac:dyDescent="0.3">
      <c r="A68" s="12">
        <v>40583</v>
      </c>
      <c r="B68" s="13">
        <v>0.79166666666666663</v>
      </c>
      <c r="C68" s="14">
        <v>40583.79167042824</v>
      </c>
      <c r="D68" s="6">
        <v>3.87</v>
      </c>
      <c r="E68" s="6">
        <v>12.51</v>
      </c>
      <c r="F68" s="6">
        <v>22.34</v>
      </c>
      <c r="G68" s="6">
        <v>2.4900000000000002</v>
      </c>
      <c r="L68" s="14"/>
    </row>
    <row r="69" spans="1:12" ht="14" x14ac:dyDescent="0.3">
      <c r="A69" s="12">
        <v>40583</v>
      </c>
      <c r="B69" s="13">
        <v>0.83333333333333337</v>
      </c>
      <c r="C69" s="14">
        <v>40583.833337152777</v>
      </c>
      <c r="D69" s="6">
        <v>3.95</v>
      </c>
      <c r="E69" s="6">
        <v>11.03</v>
      </c>
      <c r="F69" s="6">
        <v>21.63</v>
      </c>
      <c r="G69" s="6">
        <v>1.29</v>
      </c>
      <c r="L69" s="14"/>
    </row>
    <row r="70" spans="1:12" ht="14" x14ac:dyDescent="0.3">
      <c r="A70" s="12">
        <v>40583</v>
      </c>
      <c r="B70" s="13">
        <v>0.875</v>
      </c>
      <c r="C70" s="14">
        <v>40583.875003877314</v>
      </c>
      <c r="D70" s="6">
        <v>6.61</v>
      </c>
      <c r="E70" s="6">
        <v>7.53</v>
      </c>
      <c r="F70" s="6">
        <v>20.88</v>
      </c>
      <c r="G70" s="6">
        <v>0.55000000000000004</v>
      </c>
      <c r="L70" s="14"/>
    </row>
    <row r="71" spans="1:12" ht="14" x14ac:dyDescent="0.3">
      <c r="A71" s="12">
        <v>40583</v>
      </c>
      <c r="B71" s="13">
        <v>0.91666666666666663</v>
      </c>
      <c r="C71" s="14">
        <v>40583.916670601851</v>
      </c>
      <c r="D71" s="6">
        <v>17.16</v>
      </c>
      <c r="E71" s="6">
        <v>2.61</v>
      </c>
      <c r="F71" s="6">
        <v>19.93</v>
      </c>
      <c r="G71" s="6">
        <v>0.14000000000000001</v>
      </c>
      <c r="L71" s="14"/>
    </row>
    <row r="72" spans="1:12" ht="14" x14ac:dyDescent="0.3">
      <c r="A72" s="12">
        <v>40583</v>
      </c>
      <c r="B72" s="13">
        <v>0.95833333333333337</v>
      </c>
      <c r="C72" s="14">
        <v>40583.958337326389</v>
      </c>
      <c r="D72" s="6">
        <v>31.27</v>
      </c>
      <c r="E72" s="6">
        <v>0.2</v>
      </c>
      <c r="F72" s="6">
        <v>19.329999999999998</v>
      </c>
      <c r="G72" s="6">
        <v>0.3</v>
      </c>
      <c r="L72" s="14"/>
    </row>
    <row r="73" spans="1:12" ht="14.5" x14ac:dyDescent="0.35">
      <c r="A73" s="12">
        <v>40584</v>
      </c>
      <c r="B73" s="19" t="s">
        <v>29</v>
      </c>
      <c r="C73" s="14">
        <v>40584.000004050926</v>
      </c>
      <c r="D73" s="6">
        <v>28.61</v>
      </c>
      <c r="E73" s="6">
        <v>0.13</v>
      </c>
      <c r="F73" s="6">
        <v>19.04</v>
      </c>
      <c r="G73" s="6">
        <v>0.37</v>
      </c>
      <c r="L73" s="14"/>
    </row>
    <row r="74" spans="1:12" ht="14" x14ac:dyDescent="0.3">
      <c r="A74" s="12">
        <v>40584</v>
      </c>
      <c r="B74" s="13">
        <v>4.1666666666666664E-2</v>
      </c>
      <c r="C74" s="14">
        <v>40584.041670775463</v>
      </c>
      <c r="D74" s="6">
        <v>27.45</v>
      </c>
      <c r="E74" s="6">
        <v>0.14000000000000001</v>
      </c>
      <c r="F74" s="6">
        <v>18.28</v>
      </c>
      <c r="G74" s="6">
        <v>0.5</v>
      </c>
      <c r="L74" s="14"/>
    </row>
    <row r="75" spans="1:12" ht="14" x14ac:dyDescent="0.3">
      <c r="A75" s="12">
        <v>40584</v>
      </c>
      <c r="B75" s="13">
        <v>8.3333333333333329E-2</v>
      </c>
      <c r="C75" s="14">
        <v>40584.0833375</v>
      </c>
      <c r="D75" s="6">
        <v>32.450000000000003</v>
      </c>
      <c r="E75" s="6">
        <v>0.14000000000000001</v>
      </c>
      <c r="F75" s="6">
        <v>17.77</v>
      </c>
      <c r="G75" s="6">
        <v>0.57999999999999996</v>
      </c>
      <c r="L75" s="14"/>
    </row>
    <row r="76" spans="1:12" ht="14" x14ac:dyDescent="0.3">
      <c r="A76" s="12">
        <v>40584</v>
      </c>
      <c r="B76" s="13">
        <v>0.125</v>
      </c>
      <c r="C76" s="14">
        <v>40584.125004224537</v>
      </c>
      <c r="D76" s="6">
        <v>35.74</v>
      </c>
      <c r="E76" s="6">
        <v>0.15</v>
      </c>
      <c r="F76" s="6">
        <v>17.22</v>
      </c>
      <c r="G76" s="6">
        <v>0.22</v>
      </c>
      <c r="L76" s="14"/>
    </row>
    <row r="77" spans="1:12" ht="14" x14ac:dyDescent="0.3">
      <c r="A77" s="12">
        <v>40584</v>
      </c>
      <c r="B77" s="13">
        <v>0.16666666666666666</v>
      </c>
      <c r="C77" s="14">
        <v>40584.166670949075</v>
      </c>
      <c r="D77" s="6">
        <v>36.53</v>
      </c>
      <c r="E77" s="6">
        <v>0.19</v>
      </c>
      <c r="F77" s="6">
        <v>17.18</v>
      </c>
      <c r="G77" s="6">
        <v>0.12</v>
      </c>
      <c r="L77" s="14"/>
    </row>
    <row r="78" spans="1:12" ht="14" x14ac:dyDescent="0.3">
      <c r="A78" s="12">
        <v>40584</v>
      </c>
      <c r="B78" s="13">
        <v>0.20833333333333334</v>
      </c>
      <c r="C78" s="14">
        <v>40584.208337673612</v>
      </c>
      <c r="D78" s="6">
        <v>68.650000000000006</v>
      </c>
      <c r="E78" s="6">
        <v>0.18</v>
      </c>
      <c r="F78" s="6">
        <v>17.010000000000002</v>
      </c>
      <c r="G78" s="6">
        <v>0.28000000000000003</v>
      </c>
      <c r="L78" s="14"/>
    </row>
    <row r="79" spans="1:12" ht="14" x14ac:dyDescent="0.3">
      <c r="A79" s="12">
        <v>40584</v>
      </c>
      <c r="B79" s="13">
        <v>0.25</v>
      </c>
      <c r="C79" s="14">
        <v>40584.250004398149</v>
      </c>
      <c r="D79" s="6">
        <v>75.92</v>
      </c>
      <c r="E79" s="6">
        <v>0.23</v>
      </c>
      <c r="F79" s="6">
        <v>18.22</v>
      </c>
      <c r="G79" s="6">
        <v>0.13</v>
      </c>
      <c r="L79" s="14"/>
    </row>
    <row r="80" spans="1:12" ht="14" x14ac:dyDescent="0.3">
      <c r="A80" s="12">
        <v>40584</v>
      </c>
      <c r="B80" s="13">
        <v>0.29166666666666669</v>
      </c>
      <c r="C80" s="14">
        <v>40584.291671122686</v>
      </c>
      <c r="D80" s="6">
        <v>77.44</v>
      </c>
      <c r="E80" s="6">
        <v>0.68</v>
      </c>
      <c r="F80" s="6">
        <v>19.88</v>
      </c>
      <c r="G80" s="6">
        <v>0.41</v>
      </c>
      <c r="L80" s="14"/>
    </row>
    <row r="81" spans="1:12" ht="14" x14ac:dyDescent="0.3">
      <c r="A81" s="12">
        <v>40584</v>
      </c>
      <c r="B81" s="13">
        <v>0.33333333333333331</v>
      </c>
      <c r="C81" s="14">
        <v>40584.333337847223</v>
      </c>
      <c r="D81" s="6">
        <v>38.270000000000003</v>
      </c>
      <c r="E81" s="6">
        <v>3.31</v>
      </c>
      <c r="F81" s="6">
        <v>22.46</v>
      </c>
      <c r="G81" s="6">
        <v>0.26</v>
      </c>
      <c r="L81" s="14"/>
    </row>
    <row r="82" spans="1:12" ht="14" x14ac:dyDescent="0.3">
      <c r="A82" s="12">
        <v>40584</v>
      </c>
      <c r="B82" s="13">
        <v>0.375</v>
      </c>
      <c r="C82" s="14">
        <v>40584.375004571761</v>
      </c>
      <c r="D82" s="6">
        <v>17.149999999999999</v>
      </c>
      <c r="E82" s="6">
        <v>7.68</v>
      </c>
      <c r="F82" s="6">
        <v>22.96</v>
      </c>
      <c r="G82" s="6">
        <v>0.6</v>
      </c>
      <c r="L82" s="14"/>
    </row>
    <row r="83" spans="1:12" ht="14" x14ac:dyDescent="0.3">
      <c r="A83" s="12">
        <v>40584</v>
      </c>
      <c r="B83" s="13">
        <v>0.41666666666666669</v>
      </c>
      <c r="C83" s="14">
        <v>40584.416671296298</v>
      </c>
      <c r="D83" s="6">
        <v>34.06</v>
      </c>
      <c r="E83" s="6">
        <v>4.78</v>
      </c>
      <c r="F83" s="6">
        <v>22.6</v>
      </c>
      <c r="G83" s="6">
        <v>0.57999999999999996</v>
      </c>
      <c r="L83" s="14"/>
    </row>
    <row r="84" spans="1:12" ht="14" x14ac:dyDescent="0.3">
      <c r="A84" s="12">
        <v>40584</v>
      </c>
      <c r="B84" s="13">
        <v>0.45833333333333331</v>
      </c>
      <c r="C84" s="14">
        <v>40584.458338020835</v>
      </c>
      <c r="D84" s="6">
        <v>15.62</v>
      </c>
      <c r="E84" s="6">
        <v>10.06</v>
      </c>
      <c r="F84" s="6">
        <v>22.92</v>
      </c>
      <c r="G84" s="6">
        <v>0.27</v>
      </c>
      <c r="L84" s="14"/>
    </row>
    <row r="85" spans="1:12" ht="14" x14ac:dyDescent="0.3">
      <c r="A85" s="12">
        <v>40584</v>
      </c>
      <c r="B85" s="13">
        <v>0.5</v>
      </c>
      <c r="C85" s="14">
        <v>40584.500004745372</v>
      </c>
      <c r="D85" s="6">
        <v>8.9700000000000006</v>
      </c>
      <c r="E85" s="6">
        <v>15.27</v>
      </c>
      <c r="F85" s="6">
        <v>24.13</v>
      </c>
      <c r="G85" s="6">
        <v>0.78</v>
      </c>
      <c r="L85" s="14"/>
    </row>
    <row r="86" spans="1:12" ht="14" x14ac:dyDescent="0.3">
      <c r="A86" s="12">
        <v>40584</v>
      </c>
      <c r="B86" s="13">
        <v>0.54166666666666663</v>
      </c>
      <c r="C86" s="14">
        <v>40584.541671469909</v>
      </c>
      <c r="D86" s="6">
        <v>11.81</v>
      </c>
      <c r="E86" s="6">
        <v>21.07</v>
      </c>
      <c r="F86" s="6">
        <v>26.12</v>
      </c>
      <c r="G86" s="6">
        <v>0.53</v>
      </c>
      <c r="L86" s="14"/>
    </row>
    <row r="87" spans="1:12" ht="14" x14ac:dyDescent="0.3">
      <c r="A87" s="12">
        <v>40584</v>
      </c>
      <c r="B87" s="13">
        <v>0.58333333333333337</v>
      </c>
      <c r="C87" s="14">
        <v>40584.583338194447</v>
      </c>
      <c r="D87" s="6">
        <v>11.91</v>
      </c>
      <c r="E87" s="6">
        <v>28.16</v>
      </c>
      <c r="F87" s="6">
        <v>26.75</v>
      </c>
      <c r="G87" s="6">
        <v>1.96</v>
      </c>
      <c r="L87" s="14"/>
    </row>
    <row r="88" spans="1:12" ht="14" x14ac:dyDescent="0.3">
      <c r="A88" s="12">
        <v>40584</v>
      </c>
      <c r="B88" s="13">
        <v>0.625</v>
      </c>
      <c r="C88" s="14">
        <v>40584.625004918984</v>
      </c>
      <c r="D88" s="6">
        <v>5.14</v>
      </c>
      <c r="E88" s="6">
        <v>33.19</v>
      </c>
      <c r="F88" s="6">
        <v>27.15</v>
      </c>
      <c r="G88" s="6">
        <v>2.69</v>
      </c>
      <c r="L88" s="14"/>
    </row>
    <row r="89" spans="1:12" ht="14" x14ac:dyDescent="0.3">
      <c r="A89" s="12">
        <v>40584</v>
      </c>
      <c r="B89" s="13">
        <v>0.66666666666666663</v>
      </c>
      <c r="C89" s="14">
        <v>40584.666671643521</v>
      </c>
      <c r="D89" s="6">
        <v>4.21</v>
      </c>
      <c r="E89" s="6">
        <v>32.11</v>
      </c>
      <c r="F89" s="6">
        <v>26.82</v>
      </c>
      <c r="G89" s="6">
        <v>2.87</v>
      </c>
      <c r="L89" s="14"/>
    </row>
    <row r="90" spans="1:12" ht="14" x14ac:dyDescent="0.3">
      <c r="A90" s="12">
        <v>40584</v>
      </c>
      <c r="B90" s="13">
        <v>0.70833333333333337</v>
      </c>
      <c r="C90" s="14">
        <v>40584.708338368058</v>
      </c>
      <c r="D90" s="6">
        <v>4.72</v>
      </c>
      <c r="E90" s="6">
        <v>29.91</v>
      </c>
      <c r="F90" s="6">
        <v>26.24</v>
      </c>
      <c r="G90" s="6">
        <v>2.96</v>
      </c>
      <c r="L90" s="14"/>
    </row>
    <row r="91" spans="1:12" ht="14" x14ac:dyDescent="0.3">
      <c r="A91" s="12">
        <v>40584</v>
      </c>
      <c r="B91" s="13">
        <v>0.75</v>
      </c>
      <c r="C91" s="14">
        <v>40584.750005092596</v>
      </c>
      <c r="D91" s="6">
        <v>4.9000000000000004</v>
      </c>
      <c r="E91" s="6">
        <v>22.11</v>
      </c>
      <c r="F91" s="6">
        <v>25.01</v>
      </c>
      <c r="G91" s="6">
        <v>2.78</v>
      </c>
      <c r="L91" s="14"/>
    </row>
    <row r="92" spans="1:12" ht="14" x14ac:dyDescent="0.3">
      <c r="A92" s="12">
        <v>40584</v>
      </c>
      <c r="B92" s="13">
        <v>0.79166666666666663</v>
      </c>
      <c r="C92" s="14">
        <v>40584.791671817133</v>
      </c>
      <c r="D92" s="6">
        <v>3.04</v>
      </c>
      <c r="E92" s="6">
        <v>15.7</v>
      </c>
      <c r="F92" s="6">
        <v>23.82</v>
      </c>
      <c r="G92" s="6">
        <v>2.0099999999999998</v>
      </c>
      <c r="L92" s="14"/>
    </row>
    <row r="93" spans="1:12" ht="14" x14ac:dyDescent="0.3">
      <c r="A93" s="12">
        <v>40584</v>
      </c>
      <c r="B93" s="13">
        <v>0.83333333333333337</v>
      </c>
      <c r="C93" s="14">
        <v>40584.83333854167</v>
      </c>
      <c r="D93" s="6">
        <v>3.17</v>
      </c>
      <c r="E93" s="6">
        <v>13.55</v>
      </c>
      <c r="F93" s="6">
        <v>23.08</v>
      </c>
      <c r="G93" s="6">
        <v>0.73</v>
      </c>
      <c r="L93" s="14"/>
    </row>
    <row r="94" spans="1:12" ht="14" x14ac:dyDescent="0.3">
      <c r="A94" s="12">
        <v>40584</v>
      </c>
      <c r="B94" s="13">
        <v>0.875</v>
      </c>
      <c r="C94" s="14">
        <v>40584.875005266207</v>
      </c>
      <c r="D94" s="6">
        <v>4.49</v>
      </c>
      <c r="E94" s="6">
        <v>11.11</v>
      </c>
      <c r="F94" s="6">
        <v>22.83</v>
      </c>
      <c r="G94" s="6">
        <v>0.27</v>
      </c>
      <c r="L94" s="14"/>
    </row>
    <row r="95" spans="1:12" ht="14" x14ac:dyDescent="0.3">
      <c r="A95" s="12">
        <v>40584</v>
      </c>
      <c r="B95" s="13">
        <v>0.91666666666666663</v>
      </c>
      <c r="C95" s="14">
        <v>40584.916671990744</v>
      </c>
      <c r="D95" s="6">
        <v>5.1100000000000003</v>
      </c>
      <c r="E95" s="6">
        <v>9.26</v>
      </c>
      <c r="F95" s="6">
        <v>22.28</v>
      </c>
      <c r="G95" s="6">
        <v>0.31</v>
      </c>
      <c r="L95" s="14"/>
    </row>
    <row r="96" spans="1:12" ht="14" x14ac:dyDescent="0.3">
      <c r="A96" s="12">
        <v>40584</v>
      </c>
      <c r="B96" s="13">
        <v>0.95833333333333337</v>
      </c>
      <c r="C96" s="14">
        <v>40584.958338715274</v>
      </c>
      <c r="D96" s="6">
        <v>6.55</v>
      </c>
      <c r="E96" s="6">
        <v>6.75</v>
      </c>
      <c r="F96" s="6">
        <v>21.21</v>
      </c>
      <c r="G96" s="6">
        <v>0.21</v>
      </c>
      <c r="L96" s="14"/>
    </row>
    <row r="97" spans="1:12" ht="14.5" x14ac:dyDescent="0.35">
      <c r="A97" s="12">
        <v>40585</v>
      </c>
      <c r="B97" s="19" t="s">
        <v>29</v>
      </c>
      <c r="C97" s="14">
        <v>40585.000005439812</v>
      </c>
      <c r="D97" s="6">
        <v>16.03</v>
      </c>
      <c r="E97" s="6">
        <v>0.56999999999999995</v>
      </c>
      <c r="F97" s="6">
        <v>20.56</v>
      </c>
      <c r="G97" s="6">
        <v>0.28000000000000003</v>
      </c>
      <c r="L97" s="14"/>
    </row>
    <row r="98" spans="1:12" ht="14" x14ac:dyDescent="0.3">
      <c r="A98" s="12">
        <v>40585</v>
      </c>
      <c r="B98" s="13">
        <v>4.1666666666666664E-2</v>
      </c>
      <c r="C98" s="14">
        <v>40585.041672164349</v>
      </c>
      <c r="D98" s="6">
        <v>18.760000000000002</v>
      </c>
      <c r="E98" s="6">
        <v>0.08</v>
      </c>
      <c r="F98" s="6">
        <v>19.77</v>
      </c>
      <c r="G98" s="6">
        <v>0.2</v>
      </c>
      <c r="L98" s="14"/>
    </row>
    <row r="99" spans="1:12" ht="14" x14ac:dyDescent="0.3">
      <c r="A99" s="12">
        <v>40585</v>
      </c>
      <c r="B99" s="13">
        <v>8.3333333333333329E-2</v>
      </c>
      <c r="C99" s="14">
        <v>40585.083338888886</v>
      </c>
      <c r="D99" s="6">
        <v>19.09</v>
      </c>
      <c r="E99" s="6">
        <v>0.14000000000000001</v>
      </c>
      <c r="F99" s="6">
        <v>19.21</v>
      </c>
      <c r="G99" s="6">
        <v>0.18</v>
      </c>
      <c r="L99" s="14"/>
    </row>
    <row r="100" spans="1:12" ht="14" x14ac:dyDescent="0.3">
      <c r="A100" s="12">
        <v>40585</v>
      </c>
      <c r="B100" s="13">
        <v>0.125</v>
      </c>
      <c r="C100" s="14">
        <v>40585.125005613423</v>
      </c>
      <c r="D100" s="6">
        <v>18.96</v>
      </c>
      <c r="E100" s="6">
        <v>0.13</v>
      </c>
      <c r="F100" s="6">
        <v>18.7</v>
      </c>
      <c r="G100" s="6">
        <v>0.2</v>
      </c>
      <c r="L100" s="14"/>
    </row>
    <row r="101" spans="1:12" ht="14" x14ac:dyDescent="0.3">
      <c r="A101" s="12">
        <v>40585</v>
      </c>
      <c r="B101" s="13">
        <v>0.16666666666666666</v>
      </c>
      <c r="C101" s="14">
        <v>40585.16667233796</v>
      </c>
      <c r="D101" s="6">
        <v>21.34</v>
      </c>
      <c r="E101" s="6">
        <v>0.13</v>
      </c>
      <c r="F101" s="6">
        <v>18.37</v>
      </c>
      <c r="G101" s="6">
        <v>0.12</v>
      </c>
      <c r="L101" s="14"/>
    </row>
    <row r="102" spans="1:12" ht="14" x14ac:dyDescent="0.3">
      <c r="A102" s="12">
        <v>40585</v>
      </c>
      <c r="B102" s="13">
        <v>0.20833333333333334</v>
      </c>
      <c r="C102" s="14">
        <v>40585.208339062498</v>
      </c>
      <c r="D102" s="6">
        <v>29.58</v>
      </c>
      <c r="E102" s="6">
        <v>0.1</v>
      </c>
      <c r="F102" s="6">
        <v>18.36</v>
      </c>
      <c r="G102" s="6">
        <v>0.24</v>
      </c>
      <c r="L102" s="14"/>
    </row>
    <row r="103" spans="1:12" ht="14" x14ac:dyDescent="0.3">
      <c r="A103" s="12">
        <v>40585</v>
      </c>
      <c r="B103" s="13">
        <v>0.25</v>
      </c>
      <c r="C103" s="14">
        <v>40585.250005787035</v>
      </c>
      <c r="D103" s="6">
        <v>45.16</v>
      </c>
      <c r="E103" s="6">
        <v>0.14000000000000001</v>
      </c>
      <c r="F103" s="6">
        <v>18.48</v>
      </c>
      <c r="G103" s="6">
        <v>0.11</v>
      </c>
      <c r="L103" s="14"/>
    </row>
    <row r="104" spans="1:12" ht="14" x14ac:dyDescent="0.3">
      <c r="A104" s="12">
        <v>40585</v>
      </c>
      <c r="B104" s="13">
        <v>0.29166666666666669</v>
      </c>
      <c r="C104" s="14">
        <v>40585.291672511572</v>
      </c>
      <c r="D104" s="6">
        <v>78.98</v>
      </c>
      <c r="E104" s="6">
        <v>0.41</v>
      </c>
      <c r="F104" s="6">
        <v>19.850000000000001</v>
      </c>
      <c r="G104" s="6">
        <v>7.0000000000000007E-2</v>
      </c>
      <c r="L104" s="14"/>
    </row>
    <row r="105" spans="1:12" ht="14" x14ac:dyDescent="0.3">
      <c r="A105" s="12">
        <v>40585</v>
      </c>
      <c r="B105" s="13">
        <v>0.33333333333333331</v>
      </c>
      <c r="C105" s="14">
        <v>40585.333339236109</v>
      </c>
      <c r="D105" s="6">
        <v>35.53</v>
      </c>
      <c r="E105" s="6">
        <v>3.81</v>
      </c>
      <c r="F105" s="6">
        <v>24.58</v>
      </c>
      <c r="G105" s="6">
        <v>0.71</v>
      </c>
      <c r="L105" s="14"/>
    </row>
    <row r="106" spans="1:12" ht="14" x14ac:dyDescent="0.3">
      <c r="A106" s="12">
        <v>40585</v>
      </c>
      <c r="B106" s="13">
        <v>0.375</v>
      </c>
      <c r="C106" s="14">
        <v>40585.375005960646</v>
      </c>
      <c r="D106" s="6">
        <v>11.19</v>
      </c>
      <c r="E106" s="6">
        <v>15.28</v>
      </c>
      <c r="F106" s="6">
        <v>26.79</v>
      </c>
      <c r="G106" s="6">
        <v>1.99</v>
      </c>
      <c r="L106" s="14"/>
    </row>
    <row r="107" spans="1:12" ht="14" x14ac:dyDescent="0.3">
      <c r="A107" s="12">
        <v>40585</v>
      </c>
      <c r="B107" s="13">
        <v>0.41666666666666669</v>
      </c>
      <c r="C107" s="14">
        <v>40585.416672685184</v>
      </c>
      <c r="D107" s="6">
        <v>5.0599999999999996</v>
      </c>
      <c r="E107" s="6">
        <v>30.68</v>
      </c>
      <c r="F107" s="6">
        <v>29.81</v>
      </c>
      <c r="G107" s="6">
        <v>2.4500000000000002</v>
      </c>
      <c r="L107" s="14"/>
    </row>
    <row r="108" spans="1:12" ht="14" x14ac:dyDescent="0.3">
      <c r="A108" s="12">
        <v>40585</v>
      </c>
      <c r="B108" s="13">
        <v>0.45833333333333331</v>
      </c>
      <c r="C108" s="14">
        <v>40585.458339409721</v>
      </c>
      <c r="D108" s="6">
        <v>3.94</v>
      </c>
      <c r="E108" s="6">
        <v>39.14</v>
      </c>
      <c r="F108" s="6">
        <v>32.07</v>
      </c>
      <c r="G108" s="6">
        <v>1.59</v>
      </c>
      <c r="L108" s="14"/>
    </row>
    <row r="109" spans="1:12" ht="14" x14ac:dyDescent="0.3">
      <c r="A109" s="12">
        <v>40585</v>
      </c>
      <c r="B109" s="13">
        <v>0.5</v>
      </c>
      <c r="C109" s="14">
        <v>40585.500006134258</v>
      </c>
      <c r="D109" s="6">
        <v>3.74</v>
      </c>
      <c r="E109" s="6">
        <v>49.02</v>
      </c>
      <c r="F109" s="6">
        <v>33.1</v>
      </c>
      <c r="G109" s="6">
        <v>1.29</v>
      </c>
      <c r="L109" s="14"/>
    </row>
    <row r="110" spans="1:12" ht="14" x14ac:dyDescent="0.3">
      <c r="A110" s="12">
        <v>40585</v>
      </c>
      <c r="B110" s="13">
        <v>0.54166666666666663</v>
      </c>
      <c r="C110" s="14">
        <v>40585.541672858795</v>
      </c>
      <c r="D110" s="6">
        <v>3.66</v>
      </c>
      <c r="E110" s="6">
        <v>51.06</v>
      </c>
      <c r="F110" s="6">
        <v>33.83</v>
      </c>
      <c r="G110" s="6">
        <v>1.35</v>
      </c>
      <c r="L110" s="14"/>
    </row>
    <row r="111" spans="1:12" ht="14" x14ac:dyDescent="0.3">
      <c r="A111" s="12">
        <v>40585</v>
      </c>
      <c r="B111" s="13">
        <v>0.58333333333333337</v>
      </c>
      <c r="C111" s="14">
        <v>40585.583339583332</v>
      </c>
      <c r="D111" s="6">
        <v>4.03</v>
      </c>
      <c r="E111" s="6">
        <v>53.3</v>
      </c>
      <c r="F111" s="6">
        <v>35.299999999999997</v>
      </c>
      <c r="G111" s="6">
        <v>1.41</v>
      </c>
      <c r="L111" s="14"/>
    </row>
    <row r="112" spans="1:12" ht="14" x14ac:dyDescent="0.3">
      <c r="A112" s="12">
        <v>40585</v>
      </c>
      <c r="B112" s="13">
        <v>0.625</v>
      </c>
      <c r="C112" s="14">
        <v>40585.62500630787</v>
      </c>
      <c r="D112" s="6">
        <v>4.8899999999999997</v>
      </c>
      <c r="E112" s="6">
        <v>49.05</v>
      </c>
      <c r="F112" s="6">
        <v>36.72</v>
      </c>
      <c r="G112" s="6">
        <v>1.25</v>
      </c>
      <c r="L112" s="14"/>
    </row>
    <row r="113" spans="1:12" ht="14" x14ac:dyDescent="0.3">
      <c r="A113" s="12">
        <v>40585</v>
      </c>
      <c r="B113" s="13">
        <v>0.66666666666666663</v>
      </c>
      <c r="C113" s="14">
        <v>40585.666673032407</v>
      </c>
      <c r="D113" s="6">
        <v>3.89</v>
      </c>
      <c r="E113" s="6">
        <v>51.92</v>
      </c>
      <c r="F113" s="6">
        <v>36.229999999999997</v>
      </c>
      <c r="G113" s="6">
        <v>1.29</v>
      </c>
      <c r="L113" s="14"/>
    </row>
    <row r="114" spans="1:12" ht="14" x14ac:dyDescent="0.3">
      <c r="A114" s="12">
        <v>40585</v>
      </c>
      <c r="B114" s="13">
        <v>0.70833333333333337</v>
      </c>
      <c r="C114" s="14">
        <v>40585.708339756944</v>
      </c>
      <c r="D114" s="6">
        <v>17.010000000000002</v>
      </c>
      <c r="E114" s="6">
        <v>43.76</v>
      </c>
      <c r="F114" s="6">
        <v>30.94</v>
      </c>
      <c r="G114" s="6">
        <v>2.4500000000000002</v>
      </c>
      <c r="L114" s="14"/>
    </row>
    <row r="115" spans="1:12" ht="14" x14ac:dyDescent="0.3">
      <c r="A115" s="12">
        <v>40585</v>
      </c>
      <c r="B115" s="13">
        <v>0.75</v>
      </c>
      <c r="C115" s="14">
        <v>40585.750006481481</v>
      </c>
      <c r="D115" s="6">
        <v>19.3</v>
      </c>
      <c r="E115" s="6">
        <v>28.89</v>
      </c>
      <c r="F115" s="6">
        <v>27.61</v>
      </c>
      <c r="G115" s="6">
        <v>2.31</v>
      </c>
      <c r="L115" s="14"/>
    </row>
    <row r="116" spans="1:12" ht="14" x14ac:dyDescent="0.3">
      <c r="A116" s="12">
        <v>40585</v>
      </c>
      <c r="B116" s="13">
        <v>0.79166666666666663</v>
      </c>
      <c r="C116" s="14">
        <v>40585.791673206018</v>
      </c>
      <c r="D116" s="6">
        <v>16.600000000000001</v>
      </c>
      <c r="E116" s="6">
        <v>30.39</v>
      </c>
      <c r="F116" s="6">
        <v>28.37</v>
      </c>
      <c r="G116" s="6">
        <v>1.71</v>
      </c>
      <c r="L116" s="14"/>
    </row>
    <row r="117" spans="1:12" ht="14" x14ac:dyDescent="0.3">
      <c r="A117" s="12">
        <v>40585</v>
      </c>
      <c r="B117" s="13">
        <v>0.83333333333333337</v>
      </c>
      <c r="C117" s="14">
        <v>40585.833339930556</v>
      </c>
      <c r="D117" s="6">
        <v>14.02</v>
      </c>
      <c r="E117" s="6">
        <v>33.299999999999997</v>
      </c>
      <c r="F117" s="6">
        <v>28.31</v>
      </c>
      <c r="G117" s="6">
        <v>0.41</v>
      </c>
      <c r="L117" s="14"/>
    </row>
    <row r="118" spans="1:12" ht="14" x14ac:dyDescent="0.3">
      <c r="A118" s="12">
        <v>40585</v>
      </c>
      <c r="B118" s="13">
        <v>0.875</v>
      </c>
      <c r="C118" s="14">
        <v>40585.875006655093</v>
      </c>
      <c r="D118" s="6">
        <v>17.600000000000001</v>
      </c>
      <c r="E118" s="6">
        <v>28.09</v>
      </c>
      <c r="F118" s="6">
        <v>28.71</v>
      </c>
      <c r="G118" s="6">
        <v>0.47</v>
      </c>
      <c r="L118" s="14"/>
    </row>
    <row r="119" spans="1:12" ht="14" x14ac:dyDescent="0.3">
      <c r="A119" s="12">
        <v>40585</v>
      </c>
      <c r="B119" s="13">
        <v>0.91666666666666663</v>
      </c>
      <c r="C119" s="14">
        <v>40585.91667337963</v>
      </c>
      <c r="D119" s="6">
        <v>25.27</v>
      </c>
      <c r="E119" s="6">
        <v>15.44</v>
      </c>
      <c r="F119" s="6">
        <v>28</v>
      </c>
      <c r="G119" s="6">
        <v>0.34</v>
      </c>
      <c r="L119" s="14"/>
    </row>
    <row r="120" spans="1:12" ht="14" x14ac:dyDescent="0.3">
      <c r="A120" s="12">
        <v>40585</v>
      </c>
      <c r="B120" s="13">
        <v>0.95833333333333337</v>
      </c>
      <c r="C120" s="14">
        <v>40585.958340104167</v>
      </c>
      <c r="D120" s="6">
        <v>17.43</v>
      </c>
      <c r="E120" s="6">
        <v>18.03</v>
      </c>
      <c r="F120" s="6">
        <v>27.19</v>
      </c>
      <c r="G120" s="6">
        <v>1.95</v>
      </c>
      <c r="L120" s="14"/>
    </row>
    <row r="121" spans="1:12" ht="14.5" x14ac:dyDescent="0.35">
      <c r="A121" s="12">
        <v>40586</v>
      </c>
      <c r="B121" s="19" t="s">
        <v>29</v>
      </c>
      <c r="C121" s="14">
        <v>40586.000006828704</v>
      </c>
      <c r="D121" s="6">
        <v>5.91</v>
      </c>
      <c r="E121" s="6">
        <v>36.840000000000003</v>
      </c>
      <c r="F121" s="6">
        <v>25.89</v>
      </c>
      <c r="G121" s="6">
        <v>1.08</v>
      </c>
      <c r="L121" s="14"/>
    </row>
    <row r="122" spans="1:12" ht="14" x14ac:dyDescent="0.3">
      <c r="A122" s="12">
        <v>40586</v>
      </c>
      <c r="B122" s="13">
        <v>4.1666666666666664E-2</v>
      </c>
      <c r="C122" s="14">
        <v>40586.041673553242</v>
      </c>
      <c r="D122" s="6">
        <v>7.62</v>
      </c>
      <c r="E122" s="6">
        <v>35.01</v>
      </c>
      <c r="F122" s="6">
        <v>25.03</v>
      </c>
      <c r="G122" s="6">
        <v>0.7</v>
      </c>
      <c r="L122" s="14"/>
    </row>
    <row r="123" spans="1:12" ht="14" x14ac:dyDescent="0.3">
      <c r="A123" s="12">
        <v>40586</v>
      </c>
      <c r="B123" s="13">
        <v>8.3333333333333329E-2</v>
      </c>
      <c r="C123" s="14">
        <v>40586.083340277779</v>
      </c>
      <c r="D123" s="6">
        <v>8.6</v>
      </c>
      <c r="E123" s="6">
        <v>25.28</v>
      </c>
      <c r="F123" s="6">
        <v>24</v>
      </c>
      <c r="G123" s="6">
        <v>1.22</v>
      </c>
      <c r="L123" s="14"/>
    </row>
    <row r="124" spans="1:12" ht="14" x14ac:dyDescent="0.3">
      <c r="A124" s="12">
        <v>40586</v>
      </c>
      <c r="B124" s="13">
        <v>0.125</v>
      </c>
      <c r="C124" s="14">
        <v>40586.125007002316</v>
      </c>
      <c r="D124" s="6">
        <v>7.01</v>
      </c>
      <c r="E124" s="6">
        <v>26.06</v>
      </c>
      <c r="F124" s="6">
        <v>23.56</v>
      </c>
      <c r="G124" s="6">
        <v>0.28000000000000003</v>
      </c>
      <c r="L124" s="14"/>
    </row>
    <row r="125" spans="1:12" ht="14" x14ac:dyDescent="0.3">
      <c r="A125" s="12">
        <v>40586</v>
      </c>
      <c r="B125" s="13">
        <v>0.16666666666666666</v>
      </c>
      <c r="C125" s="14">
        <v>40586.166673726853</v>
      </c>
      <c r="D125" s="6">
        <v>8.73</v>
      </c>
      <c r="E125" s="6">
        <v>17.89</v>
      </c>
      <c r="F125" s="6">
        <v>23.42</v>
      </c>
      <c r="G125" s="6">
        <v>0.26</v>
      </c>
      <c r="L125" s="14"/>
    </row>
    <row r="126" spans="1:12" ht="14" x14ac:dyDescent="0.3">
      <c r="A126" s="12">
        <v>40586</v>
      </c>
      <c r="B126" s="13">
        <v>0.20833333333333334</v>
      </c>
      <c r="C126" s="14">
        <v>40586.208340451391</v>
      </c>
      <c r="D126" s="6">
        <v>13.52</v>
      </c>
      <c r="E126" s="6">
        <v>12.53</v>
      </c>
      <c r="F126" s="6">
        <v>23.59</v>
      </c>
      <c r="G126" s="6">
        <v>0.68</v>
      </c>
      <c r="L126" s="14"/>
    </row>
    <row r="127" spans="1:12" ht="14" x14ac:dyDescent="0.3">
      <c r="A127" s="12">
        <v>40586</v>
      </c>
      <c r="B127" s="13">
        <v>0.25</v>
      </c>
      <c r="C127" s="14">
        <v>40586.250007175928</v>
      </c>
      <c r="D127" s="6">
        <v>19.43</v>
      </c>
      <c r="E127" s="6">
        <v>5.77</v>
      </c>
      <c r="F127" s="6">
        <v>23.33</v>
      </c>
      <c r="G127" s="6">
        <v>0.64</v>
      </c>
      <c r="L127" s="14"/>
    </row>
    <row r="128" spans="1:12" ht="14" x14ac:dyDescent="0.3">
      <c r="A128" s="12">
        <v>40586</v>
      </c>
      <c r="B128" s="13">
        <v>0.29166666666666669</v>
      </c>
      <c r="C128" s="14">
        <v>40586.291673900465</v>
      </c>
      <c r="D128" s="6">
        <v>18.79</v>
      </c>
      <c r="E128" s="6">
        <v>5.12</v>
      </c>
      <c r="F128" s="6">
        <v>23.09</v>
      </c>
      <c r="G128" s="6">
        <v>0.34</v>
      </c>
      <c r="L128" s="14"/>
    </row>
    <row r="129" spans="1:12" ht="14" x14ac:dyDescent="0.3">
      <c r="A129" s="12">
        <v>40586</v>
      </c>
      <c r="B129" s="13">
        <v>0.33333333333333331</v>
      </c>
      <c r="C129" s="14">
        <v>40586.333340625002</v>
      </c>
      <c r="D129" s="6">
        <v>11.95</v>
      </c>
      <c r="E129" s="6">
        <v>11.79</v>
      </c>
      <c r="F129" s="6">
        <v>23.57</v>
      </c>
      <c r="G129" s="6">
        <v>1.63</v>
      </c>
      <c r="L129" s="14"/>
    </row>
    <row r="130" spans="1:12" ht="14" x14ac:dyDescent="0.3">
      <c r="A130" s="12">
        <v>40586</v>
      </c>
      <c r="B130" s="13">
        <v>0.375</v>
      </c>
      <c r="C130" s="14">
        <v>40586.375007349539</v>
      </c>
      <c r="D130" s="6">
        <v>5.05</v>
      </c>
      <c r="E130" s="6">
        <v>22.01</v>
      </c>
      <c r="F130" s="6">
        <v>23.11</v>
      </c>
      <c r="G130" s="6">
        <v>2.5099999999999998</v>
      </c>
      <c r="L130" s="14"/>
    </row>
    <row r="131" spans="1:12" ht="14" x14ac:dyDescent="0.3">
      <c r="A131" s="12">
        <v>40586</v>
      </c>
      <c r="B131" s="13">
        <v>0.41666666666666669</v>
      </c>
      <c r="C131" s="14">
        <v>40586.416674074077</v>
      </c>
      <c r="D131" s="6">
        <v>4.2300000000000004</v>
      </c>
      <c r="E131" s="6">
        <v>20.49</v>
      </c>
      <c r="F131" s="6">
        <v>22.42</v>
      </c>
      <c r="G131" s="6">
        <v>2.5099999999999998</v>
      </c>
      <c r="L131" s="14"/>
    </row>
    <row r="132" spans="1:12" ht="14" x14ac:dyDescent="0.3">
      <c r="A132" s="12">
        <v>40586</v>
      </c>
      <c r="B132" s="13">
        <v>0.45833333333333331</v>
      </c>
      <c r="C132" s="14">
        <v>40586.458340798614</v>
      </c>
      <c r="D132" s="6">
        <v>4.72</v>
      </c>
      <c r="E132" s="6">
        <v>16.02</v>
      </c>
      <c r="F132" s="6">
        <v>22.07</v>
      </c>
      <c r="G132" s="6">
        <v>2.48</v>
      </c>
      <c r="L132" s="14"/>
    </row>
    <row r="133" spans="1:12" ht="14" x14ac:dyDescent="0.3">
      <c r="A133" s="12">
        <v>40586</v>
      </c>
      <c r="B133" s="13">
        <v>0.5</v>
      </c>
      <c r="C133" s="14">
        <v>40586.500007523151</v>
      </c>
      <c r="D133" s="6">
        <v>5.29</v>
      </c>
      <c r="E133" s="6">
        <v>13.49</v>
      </c>
      <c r="F133" s="6">
        <v>22.43</v>
      </c>
      <c r="G133" s="6">
        <v>2.0299999999999998</v>
      </c>
      <c r="L133" s="14"/>
    </row>
    <row r="134" spans="1:12" ht="14" x14ac:dyDescent="0.3">
      <c r="A134" s="12">
        <v>40586</v>
      </c>
      <c r="B134" s="13">
        <v>0.54166666666666663</v>
      </c>
      <c r="C134" s="14">
        <v>40586.541674247688</v>
      </c>
      <c r="D134" s="6">
        <v>4.78</v>
      </c>
      <c r="E134" s="6">
        <v>13.59</v>
      </c>
      <c r="F134" s="6">
        <v>22.43</v>
      </c>
      <c r="G134" s="6">
        <v>2.12</v>
      </c>
      <c r="L134" s="14"/>
    </row>
    <row r="135" spans="1:12" ht="14" x14ac:dyDescent="0.3">
      <c r="A135" s="12">
        <v>40586</v>
      </c>
      <c r="B135" s="13">
        <v>0.58333333333333337</v>
      </c>
      <c r="C135" s="14">
        <v>40586.583340972225</v>
      </c>
      <c r="D135" s="6">
        <v>5</v>
      </c>
      <c r="E135" s="6">
        <v>14.4</v>
      </c>
      <c r="F135" s="6">
        <v>22.18</v>
      </c>
      <c r="G135" s="6">
        <v>2.12</v>
      </c>
      <c r="L135" s="14"/>
    </row>
    <row r="136" spans="1:12" ht="14" x14ac:dyDescent="0.3">
      <c r="A136" s="12">
        <v>40586</v>
      </c>
      <c r="B136" s="13">
        <v>0.625</v>
      </c>
      <c r="C136" s="14">
        <v>40586.625007696763</v>
      </c>
      <c r="D136" s="6">
        <v>4.84</v>
      </c>
      <c r="E136" s="6">
        <v>14.42</v>
      </c>
      <c r="F136" s="6">
        <v>21.26</v>
      </c>
      <c r="G136" s="6">
        <v>1.64</v>
      </c>
      <c r="L136" s="14"/>
    </row>
    <row r="137" spans="1:12" ht="14" x14ac:dyDescent="0.3">
      <c r="A137" s="12">
        <v>40586</v>
      </c>
      <c r="B137" s="13">
        <v>0.66666666666666663</v>
      </c>
      <c r="C137" s="14">
        <v>40586.6666744213</v>
      </c>
      <c r="D137" s="6">
        <v>9.1999999999999993</v>
      </c>
      <c r="E137" s="6">
        <v>9.68</v>
      </c>
      <c r="F137" s="6">
        <v>19.75</v>
      </c>
      <c r="G137" s="6">
        <v>0.76</v>
      </c>
      <c r="L137" s="14"/>
    </row>
    <row r="138" spans="1:12" ht="14" x14ac:dyDescent="0.3">
      <c r="A138" s="12">
        <v>40586</v>
      </c>
      <c r="B138" s="13">
        <v>0.70833333333333337</v>
      </c>
      <c r="C138" s="14">
        <v>40586.70834114583</v>
      </c>
      <c r="D138" s="6">
        <v>12.55</v>
      </c>
      <c r="E138" s="6">
        <v>7.06</v>
      </c>
      <c r="F138" s="6">
        <v>19.59</v>
      </c>
      <c r="G138" s="6">
        <v>0.64</v>
      </c>
      <c r="L138" s="14"/>
    </row>
    <row r="139" spans="1:12" ht="14" x14ac:dyDescent="0.3">
      <c r="A139" s="12">
        <v>40586</v>
      </c>
      <c r="B139" s="13">
        <v>0.75</v>
      </c>
      <c r="C139" s="14">
        <v>40586.750007870367</v>
      </c>
      <c r="D139" s="6">
        <v>16.75</v>
      </c>
      <c r="E139" s="6">
        <v>4</v>
      </c>
      <c r="F139" s="6">
        <v>19.420000000000002</v>
      </c>
      <c r="G139" s="6">
        <v>0.51</v>
      </c>
      <c r="L139" s="14"/>
    </row>
    <row r="140" spans="1:12" ht="14" x14ac:dyDescent="0.3">
      <c r="A140" s="12">
        <v>40586</v>
      </c>
      <c r="B140" s="13">
        <v>0.79166666666666663</v>
      </c>
      <c r="C140" s="14">
        <v>40586.791674594904</v>
      </c>
      <c r="D140" s="6">
        <v>17.579999999999998</v>
      </c>
      <c r="E140" s="6">
        <v>1.92</v>
      </c>
      <c r="F140" s="6">
        <v>19.3</v>
      </c>
      <c r="G140" s="6">
        <v>0.32</v>
      </c>
      <c r="L140" s="14"/>
    </row>
    <row r="141" spans="1:12" ht="14" x14ac:dyDescent="0.3">
      <c r="A141" s="12">
        <v>40586</v>
      </c>
      <c r="B141" s="13">
        <v>0.83333333333333337</v>
      </c>
      <c r="C141" s="14">
        <v>40586.833341319441</v>
      </c>
      <c r="D141" s="6">
        <v>17.22</v>
      </c>
      <c r="E141" s="6">
        <v>1.26</v>
      </c>
      <c r="F141" s="6">
        <v>19.22</v>
      </c>
      <c r="G141" s="6">
        <v>0.56000000000000005</v>
      </c>
      <c r="L141" s="14"/>
    </row>
    <row r="142" spans="1:12" ht="14" x14ac:dyDescent="0.3">
      <c r="A142" s="12">
        <v>40586</v>
      </c>
      <c r="B142" s="13">
        <v>0.875</v>
      </c>
      <c r="C142" s="14">
        <v>40586.875008043979</v>
      </c>
      <c r="D142" s="6">
        <v>15.32</v>
      </c>
      <c r="E142" s="6">
        <v>2.2999999999999998</v>
      </c>
      <c r="F142" s="6">
        <v>19.13</v>
      </c>
      <c r="G142" s="6">
        <v>0.65</v>
      </c>
      <c r="L142" s="14"/>
    </row>
    <row r="143" spans="1:12" ht="14" x14ac:dyDescent="0.3">
      <c r="A143" s="12">
        <v>40586</v>
      </c>
      <c r="B143" s="13">
        <v>0.91666666666666663</v>
      </c>
      <c r="C143" s="14">
        <v>40586.916674768516</v>
      </c>
      <c r="D143" s="6">
        <v>16.87</v>
      </c>
      <c r="E143" s="6">
        <v>1.31</v>
      </c>
      <c r="F143" s="6">
        <v>19.25</v>
      </c>
      <c r="G143" s="6">
        <v>0.78</v>
      </c>
      <c r="L143" s="14"/>
    </row>
    <row r="144" spans="1:12" ht="14" x14ac:dyDescent="0.3">
      <c r="A144" s="12">
        <v>40586</v>
      </c>
      <c r="B144" s="13">
        <v>0.95833333333333337</v>
      </c>
      <c r="C144" s="14">
        <v>40586.958341493053</v>
      </c>
      <c r="D144" s="6">
        <v>15.24</v>
      </c>
      <c r="E144" s="6">
        <v>1.56</v>
      </c>
      <c r="F144" s="6">
        <v>19.29</v>
      </c>
      <c r="G144" s="6">
        <v>0.5</v>
      </c>
      <c r="L144" s="14"/>
    </row>
    <row r="145" spans="1:12" ht="14.5" x14ac:dyDescent="0.35">
      <c r="A145" s="12">
        <v>40587</v>
      </c>
      <c r="B145" s="19" t="s">
        <v>29</v>
      </c>
      <c r="C145" s="14">
        <v>40587.00000821759</v>
      </c>
      <c r="D145" s="6">
        <v>15.13</v>
      </c>
      <c r="E145" s="6">
        <v>0.77</v>
      </c>
      <c r="F145" s="6">
        <v>19.34</v>
      </c>
      <c r="G145" s="6">
        <v>0.63</v>
      </c>
      <c r="L145" s="14"/>
    </row>
    <row r="146" spans="1:12" ht="14" x14ac:dyDescent="0.3">
      <c r="A146" s="12">
        <v>40587</v>
      </c>
      <c r="B146" s="13">
        <v>4.1666666666666664E-2</v>
      </c>
      <c r="C146" s="14">
        <v>40587.041674942127</v>
      </c>
      <c r="D146" s="6">
        <v>13.67</v>
      </c>
      <c r="E146" s="6">
        <v>0.78</v>
      </c>
      <c r="F146" s="6">
        <v>19.39</v>
      </c>
      <c r="G146" s="6">
        <v>0.56999999999999995</v>
      </c>
      <c r="L146" s="14"/>
    </row>
    <row r="147" spans="1:12" ht="14" x14ac:dyDescent="0.3">
      <c r="A147" s="12">
        <v>40587</v>
      </c>
      <c r="B147" s="13">
        <v>8.3333333333333329E-2</v>
      </c>
      <c r="C147" s="14">
        <v>40587.083341666665</v>
      </c>
      <c r="D147" s="6">
        <v>11.17</v>
      </c>
      <c r="E147" s="6">
        <v>1.1599999999999999</v>
      </c>
      <c r="F147" s="6">
        <v>19.440000000000001</v>
      </c>
      <c r="G147" s="6">
        <v>0.37</v>
      </c>
      <c r="L147" s="14"/>
    </row>
    <row r="148" spans="1:12" ht="14" x14ac:dyDescent="0.3">
      <c r="A148" s="12">
        <v>40587</v>
      </c>
      <c r="B148" s="13">
        <v>0.125</v>
      </c>
      <c r="C148" s="14">
        <v>40587.125008391202</v>
      </c>
      <c r="D148" s="6">
        <v>12.12</v>
      </c>
      <c r="E148" s="6">
        <v>0.38</v>
      </c>
      <c r="F148" s="6">
        <v>19.61</v>
      </c>
      <c r="G148" s="6">
        <v>0.09</v>
      </c>
      <c r="L148" s="14"/>
    </row>
    <row r="149" spans="1:12" ht="14" x14ac:dyDescent="0.3">
      <c r="A149" s="12">
        <v>40587</v>
      </c>
      <c r="B149" s="13">
        <v>0.16666666666666666</v>
      </c>
      <c r="C149" s="14">
        <v>40587.166675115739</v>
      </c>
      <c r="D149" s="6">
        <v>14.49</v>
      </c>
      <c r="E149" s="6">
        <v>0.06</v>
      </c>
      <c r="F149" s="6">
        <v>19.649999999999999</v>
      </c>
      <c r="G149" s="6">
        <v>0.37</v>
      </c>
      <c r="L149" s="14"/>
    </row>
    <row r="150" spans="1:12" ht="14" x14ac:dyDescent="0.3">
      <c r="A150" s="12">
        <v>40587</v>
      </c>
      <c r="B150" s="13">
        <v>0.20833333333333334</v>
      </c>
      <c r="C150" s="14">
        <v>40587.208341840276</v>
      </c>
      <c r="D150" s="6">
        <v>16.37</v>
      </c>
      <c r="E150" s="6">
        <v>0.06</v>
      </c>
      <c r="F150" s="6">
        <v>19.66</v>
      </c>
      <c r="G150" s="6">
        <v>0.27</v>
      </c>
      <c r="L150" s="14"/>
    </row>
    <row r="151" spans="1:12" ht="14" x14ac:dyDescent="0.3">
      <c r="A151" s="12">
        <v>40587</v>
      </c>
      <c r="B151" s="13">
        <v>0.25</v>
      </c>
      <c r="C151" s="14">
        <v>40587.250008564813</v>
      </c>
      <c r="D151" s="6">
        <v>18.2</v>
      </c>
      <c r="E151" s="6">
        <v>0.11</v>
      </c>
      <c r="F151" s="6">
        <v>19.7</v>
      </c>
      <c r="G151" s="6">
        <v>0.39</v>
      </c>
      <c r="L151" s="14"/>
    </row>
    <row r="152" spans="1:12" ht="14" x14ac:dyDescent="0.3">
      <c r="A152" s="12">
        <v>40587</v>
      </c>
      <c r="B152" s="13">
        <v>0.29166666666666669</v>
      </c>
      <c r="C152" s="14">
        <v>40587.291675289351</v>
      </c>
      <c r="D152" s="6">
        <v>16.8</v>
      </c>
      <c r="E152" s="6">
        <v>0.79</v>
      </c>
      <c r="F152" s="6">
        <v>20.09</v>
      </c>
      <c r="G152" s="6">
        <v>0.54</v>
      </c>
      <c r="L152" s="14"/>
    </row>
    <row r="153" spans="1:12" ht="14" x14ac:dyDescent="0.3">
      <c r="A153" s="12">
        <v>40587</v>
      </c>
      <c r="B153" s="13">
        <v>0.33333333333333331</v>
      </c>
      <c r="C153" s="14">
        <v>40587.333342013888</v>
      </c>
      <c r="D153" s="6">
        <v>17.28</v>
      </c>
      <c r="E153" s="6">
        <v>2.2400000000000002</v>
      </c>
      <c r="F153" s="6">
        <v>20.66</v>
      </c>
      <c r="G153" s="6">
        <v>0.19</v>
      </c>
      <c r="L153" s="14"/>
    </row>
    <row r="154" spans="1:12" ht="14" x14ac:dyDescent="0.3">
      <c r="A154" s="12">
        <v>40587</v>
      </c>
      <c r="B154" s="13">
        <v>0.375</v>
      </c>
      <c r="C154" s="14">
        <v>40587.375008738425</v>
      </c>
      <c r="D154" s="6">
        <v>10.8</v>
      </c>
      <c r="E154" s="6">
        <v>8.9700000000000006</v>
      </c>
      <c r="F154" s="6">
        <v>22.5</v>
      </c>
      <c r="G154" s="6">
        <v>1.23</v>
      </c>
      <c r="L154" s="14"/>
    </row>
    <row r="155" spans="1:12" ht="14" x14ac:dyDescent="0.3">
      <c r="A155" s="12">
        <v>40587</v>
      </c>
      <c r="B155" s="13">
        <v>0.41666666666666669</v>
      </c>
      <c r="C155" s="14">
        <v>40587.416675462962</v>
      </c>
      <c r="D155" s="6">
        <v>7.18</v>
      </c>
      <c r="E155" s="6">
        <v>11.15</v>
      </c>
      <c r="F155" s="6">
        <v>22.34</v>
      </c>
      <c r="G155" s="6">
        <v>1.1599999999999999</v>
      </c>
      <c r="L155" s="14"/>
    </row>
    <row r="156" spans="1:12" ht="14" x14ac:dyDescent="0.3">
      <c r="A156" s="12">
        <v>40587</v>
      </c>
      <c r="B156" s="13">
        <v>0.45833333333333331</v>
      </c>
      <c r="C156" s="14">
        <v>40587.4583421875</v>
      </c>
      <c r="D156" s="6">
        <v>5.84</v>
      </c>
      <c r="E156" s="6">
        <v>13.44</v>
      </c>
      <c r="F156" s="6">
        <v>22.73</v>
      </c>
      <c r="G156" s="6">
        <v>1.92</v>
      </c>
      <c r="L156" s="14"/>
    </row>
    <row r="157" spans="1:12" ht="14" x14ac:dyDescent="0.3">
      <c r="A157" s="12">
        <v>40587</v>
      </c>
      <c r="B157" s="13">
        <v>0.5</v>
      </c>
      <c r="C157" s="14">
        <v>40587.500008912037</v>
      </c>
      <c r="D157" s="6">
        <v>6.35</v>
      </c>
      <c r="E157" s="6">
        <v>14.21</v>
      </c>
      <c r="F157" s="6">
        <v>22.71</v>
      </c>
      <c r="G157" s="6">
        <v>1.89</v>
      </c>
      <c r="L157" s="14"/>
    </row>
    <row r="158" spans="1:12" ht="14" x14ac:dyDescent="0.3">
      <c r="A158" s="12">
        <v>40587</v>
      </c>
      <c r="B158" s="13">
        <v>0.54166666666666663</v>
      </c>
      <c r="C158" s="14">
        <v>40587.541675636574</v>
      </c>
      <c r="D158" s="6">
        <v>6.25</v>
      </c>
      <c r="E158" s="6">
        <v>14.21</v>
      </c>
      <c r="F158" s="6">
        <v>22.16</v>
      </c>
      <c r="G158" s="6">
        <v>2.1</v>
      </c>
      <c r="L158" s="14"/>
    </row>
    <row r="159" spans="1:12" ht="14" x14ac:dyDescent="0.3">
      <c r="A159" s="12">
        <v>40587</v>
      </c>
      <c r="B159" s="13">
        <v>0.58333333333333337</v>
      </c>
      <c r="C159" s="14">
        <v>40587.583342361111</v>
      </c>
      <c r="D159" s="6">
        <v>4.83</v>
      </c>
      <c r="E159" s="6">
        <v>14.79</v>
      </c>
      <c r="F159" s="6">
        <v>21.51</v>
      </c>
      <c r="G159" s="6">
        <v>2.04</v>
      </c>
      <c r="L159" s="14"/>
    </row>
    <row r="160" spans="1:12" ht="14" x14ac:dyDescent="0.3">
      <c r="A160" s="12">
        <v>40587</v>
      </c>
      <c r="B160" s="13">
        <v>0.625</v>
      </c>
      <c r="C160" s="14">
        <v>40587.625009085648</v>
      </c>
      <c r="D160" s="6">
        <v>3.91</v>
      </c>
      <c r="E160" s="6">
        <v>14.58</v>
      </c>
      <c r="F160" s="6">
        <v>20.98</v>
      </c>
      <c r="G160" s="6">
        <v>2.1800000000000002</v>
      </c>
      <c r="L160" s="14"/>
    </row>
    <row r="161" spans="1:12" ht="14" x14ac:dyDescent="0.3">
      <c r="A161" s="12">
        <v>40587</v>
      </c>
      <c r="B161" s="13">
        <v>0.66666666666666663</v>
      </c>
      <c r="C161" s="14">
        <v>40587.666675810186</v>
      </c>
      <c r="D161" s="6">
        <v>3.67</v>
      </c>
      <c r="E161" s="6">
        <v>16.21</v>
      </c>
      <c r="F161" s="6">
        <v>20.97</v>
      </c>
      <c r="G161" s="6">
        <v>2.67</v>
      </c>
      <c r="L161" s="14"/>
    </row>
    <row r="162" spans="1:12" ht="14" x14ac:dyDescent="0.3">
      <c r="A162" s="12">
        <v>40587</v>
      </c>
      <c r="B162" s="13">
        <v>0.70833333333333337</v>
      </c>
      <c r="C162" s="14">
        <v>40587.708342534723</v>
      </c>
      <c r="D162" s="6">
        <v>3.1</v>
      </c>
      <c r="E162" s="6">
        <v>17.579999999999998</v>
      </c>
      <c r="F162" s="6">
        <v>20.78</v>
      </c>
      <c r="G162" s="6">
        <v>2.85</v>
      </c>
      <c r="L162" s="14"/>
    </row>
    <row r="163" spans="1:12" ht="14" x14ac:dyDescent="0.3">
      <c r="A163" s="12">
        <v>40587</v>
      </c>
      <c r="B163" s="13">
        <v>0.75</v>
      </c>
      <c r="C163" s="14">
        <v>40587.75000925926</v>
      </c>
      <c r="D163" s="6">
        <v>3.9</v>
      </c>
      <c r="E163" s="6">
        <v>17</v>
      </c>
      <c r="F163" s="6">
        <v>20.84</v>
      </c>
      <c r="G163" s="6">
        <v>2.34</v>
      </c>
      <c r="L163" s="14"/>
    </row>
    <row r="164" spans="1:12" ht="14" x14ac:dyDescent="0.3">
      <c r="A164" s="12">
        <v>40587</v>
      </c>
      <c r="B164" s="13">
        <v>0.79166666666666663</v>
      </c>
      <c r="C164" s="14">
        <v>40587.791675983797</v>
      </c>
      <c r="D164" s="6">
        <v>3.97</v>
      </c>
      <c r="E164" s="6">
        <v>16.690000000000001</v>
      </c>
      <c r="F164" s="6">
        <v>20.76</v>
      </c>
      <c r="G164" s="6">
        <v>1.78</v>
      </c>
      <c r="L164" s="14"/>
    </row>
    <row r="165" spans="1:12" ht="14" x14ac:dyDescent="0.3">
      <c r="A165" s="12">
        <v>40587</v>
      </c>
      <c r="B165" s="13">
        <v>0.83333333333333337</v>
      </c>
      <c r="C165" s="14">
        <v>40587.833342708334</v>
      </c>
      <c r="D165" s="6">
        <v>3.69</v>
      </c>
      <c r="E165" s="6">
        <v>15.44</v>
      </c>
      <c r="F165" s="6">
        <v>20.74</v>
      </c>
      <c r="G165" s="6">
        <v>2.5</v>
      </c>
      <c r="L165" s="14"/>
    </row>
    <row r="166" spans="1:12" ht="14" x14ac:dyDescent="0.3">
      <c r="A166" s="12">
        <v>40587</v>
      </c>
      <c r="B166" s="13">
        <v>0.875</v>
      </c>
      <c r="C166" s="14">
        <v>40587.875009432872</v>
      </c>
      <c r="D166" s="6">
        <v>3.6</v>
      </c>
      <c r="E166" s="6">
        <v>14.44</v>
      </c>
      <c r="F166" s="6">
        <v>20.38</v>
      </c>
      <c r="G166" s="6">
        <v>1.65</v>
      </c>
      <c r="L166" s="14"/>
    </row>
    <row r="167" spans="1:12" ht="14" x14ac:dyDescent="0.3">
      <c r="A167" s="12">
        <v>40587</v>
      </c>
      <c r="B167" s="13">
        <v>0.91666666666666663</v>
      </c>
      <c r="C167" s="14">
        <v>40587.916676157409</v>
      </c>
      <c r="D167" s="6">
        <v>3.78</v>
      </c>
      <c r="E167" s="6">
        <v>13.24</v>
      </c>
      <c r="F167" s="6">
        <v>20.12</v>
      </c>
      <c r="G167" s="6">
        <v>1.72</v>
      </c>
      <c r="L167" s="14"/>
    </row>
    <row r="168" spans="1:12" ht="14" x14ac:dyDescent="0.3">
      <c r="A168" s="12">
        <v>40587</v>
      </c>
      <c r="B168" s="13">
        <v>0.95833333333333337</v>
      </c>
      <c r="C168" s="14">
        <v>40587.958342881946</v>
      </c>
      <c r="D168" s="6">
        <v>3.98</v>
      </c>
      <c r="E168" s="6">
        <v>11.3</v>
      </c>
      <c r="F168" s="6">
        <v>19.63</v>
      </c>
      <c r="G168" s="6">
        <v>1.47</v>
      </c>
      <c r="L168" s="14"/>
    </row>
    <row r="169" spans="1:12" ht="14.5" x14ac:dyDescent="0.35">
      <c r="A169" s="12">
        <v>40588</v>
      </c>
      <c r="B169" s="19" t="s">
        <v>29</v>
      </c>
      <c r="C169" s="14">
        <v>40588.000009606483</v>
      </c>
      <c r="D169" s="6">
        <v>5.12</v>
      </c>
      <c r="E169" s="6">
        <v>9.23</v>
      </c>
      <c r="F169" s="6">
        <v>19.53</v>
      </c>
      <c r="G169" s="6">
        <v>1.24</v>
      </c>
      <c r="L169" s="14"/>
    </row>
    <row r="170" spans="1:12" ht="14" x14ac:dyDescent="0.3">
      <c r="A170" s="12">
        <v>40588</v>
      </c>
      <c r="B170" s="13">
        <v>4.1666666666666664E-2</v>
      </c>
      <c r="C170" s="14">
        <v>40588.04167633102</v>
      </c>
      <c r="D170" s="6">
        <v>6.65</v>
      </c>
      <c r="E170" s="6">
        <v>6.45</v>
      </c>
      <c r="F170" s="6">
        <v>19.440000000000001</v>
      </c>
      <c r="G170" s="6">
        <v>1.08</v>
      </c>
      <c r="L170" s="14"/>
    </row>
    <row r="171" spans="1:12" ht="14" x14ac:dyDescent="0.3">
      <c r="A171" s="12">
        <v>40588</v>
      </c>
      <c r="B171" s="13">
        <v>8.3333333333333329E-2</v>
      </c>
      <c r="C171" s="14">
        <v>40588.083343055558</v>
      </c>
      <c r="D171" s="6">
        <v>6.66</v>
      </c>
      <c r="E171" s="6">
        <v>5.67</v>
      </c>
      <c r="F171" s="6">
        <v>18.88</v>
      </c>
      <c r="G171" s="6">
        <v>0.79</v>
      </c>
      <c r="L171" s="14"/>
    </row>
    <row r="172" spans="1:12" ht="14" x14ac:dyDescent="0.3">
      <c r="A172" s="12">
        <v>40588</v>
      </c>
      <c r="B172" s="13">
        <v>0.125</v>
      </c>
      <c r="C172" s="14">
        <v>40588.125009780095</v>
      </c>
      <c r="D172" s="6">
        <v>7.94</v>
      </c>
      <c r="E172" s="6">
        <v>3.39</v>
      </c>
      <c r="F172" s="6">
        <v>18.37</v>
      </c>
      <c r="G172" s="6">
        <v>0.5</v>
      </c>
      <c r="L172" s="14"/>
    </row>
    <row r="173" spans="1:12" ht="14" x14ac:dyDescent="0.3">
      <c r="A173" s="12">
        <v>40588</v>
      </c>
      <c r="B173" s="13">
        <v>0.16666666666666666</v>
      </c>
      <c r="C173" s="14">
        <v>40588.166676504632</v>
      </c>
      <c r="D173" s="6">
        <v>8.91</v>
      </c>
      <c r="E173" s="6">
        <v>2.1</v>
      </c>
      <c r="F173" s="6">
        <v>18.57</v>
      </c>
      <c r="G173" s="6">
        <v>0.56999999999999995</v>
      </c>
      <c r="L173" s="14"/>
    </row>
    <row r="174" spans="1:12" ht="14" x14ac:dyDescent="0.3">
      <c r="A174" s="12">
        <v>40588</v>
      </c>
      <c r="B174" s="13">
        <v>0.20833333333333334</v>
      </c>
      <c r="C174" s="14">
        <v>40588.208343229169</v>
      </c>
      <c r="D174" s="6">
        <v>9.43</v>
      </c>
      <c r="E174" s="6">
        <v>3.65</v>
      </c>
      <c r="F174" s="6">
        <v>19.07</v>
      </c>
      <c r="G174" s="6">
        <v>0.99</v>
      </c>
      <c r="L174" s="14"/>
    </row>
    <row r="175" spans="1:12" ht="14" x14ac:dyDescent="0.3">
      <c r="A175" s="12">
        <v>40588</v>
      </c>
      <c r="B175" s="13">
        <v>0.25</v>
      </c>
      <c r="C175" s="14">
        <v>40588.250009953706</v>
      </c>
      <c r="D175" s="6">
        <v>13.26</v>
      </c>
      <c r="E175" s="6">
        <v>1.91</v>
      </c>
      <c r="F175" s="6">
        <v>18.72</v>
      </c>
      <c r="G175" s="6">
        <v>0.7</v>
      </c>
      <c r="L175" s="14"/>
    </row>
    <row r="176" spans="1:12" ht="14" x14ac:dyDescent="0.3">
      <c r="A176" s="12">
        <v>40588</v>
      </c>
      <c r="B176" s="13">
        <v>0.29166666666666669</v>
      </c>
      <c r="C176" s="14">
        <v>40588.291676678244</v>
      </c>
      <c r="D176" s="6">
        <v>20.74</v>
      </c>
      <c r="E176" s="6">
        <v>0.84</v>
      </c>
      <c r="F176" s="6">
        <v>19.12</v>
      </c>
      <c r="G176" s="6">
        <v>0.64</v>
      </c>
      <c r="L176" s="14"/>
    </row>
    <row r="177" spans="1:12" ht="14" x14ac:dyDescent="0.3">
      <c r="A177" s="12">
        <v>40588</v>
      </c>
      <c r="B177" s="13">
        <v>0.33333333333333331</v>
      </c>
      <c r="C177" s="14">
        <v>40588.333343402781</v>
      </c>
      <c r="D177" s="6">
        <v>24.23</v>
      </c>
      <c r="E177" s="6">
        <v>2.0099999999999998</v>
      </c>
      <c r="F177" s="6">
        <v>19.489999999999998</v>
      </c>
      <c r="G177" s="6">
        <v>0.71</v>
      </c>
      <c r="L177" s="14"/>
    </row>
    <row r="178" spans="1:12" ht="14" x14ac:dyDescent="0.3">
      <c r="A178" s="12">
        <v>40588</v>
      </c>
      <c r="B178" s="13">
        <v>0.375</v>
      </c>
      <c r="C178" s="14">
        <v>40588.375010127318</v>
      </c>
      <c r="D178" s="6">
        <v>16.77</v>
      </c>
      <c r="E178" s="6">
        <v>6.53</v>
      </c>
      <c r="F178" s="6">
        <v>21.04</v>
      </c>
      <c r="G178" s="6">
        <v>1.57</v>
      </c>
      <c r="L178" s="14"/>
    </row>
    <row r="179" spans="1:12" ht="14" x14ac:dyDescent="0.3">
      <c r="A179" s="12">
        <v>40588</v>
      </c>
      <c r="B179" s="13">
        <v>0.41666666666666669</v>
      </c>
      <c r="C179" s="14">
        <v>40588.416676851855</v>
      </c>
      <c r="D179" s="6">
        <v>7.22</v>
      </c>
      <c r="E179" s="6">
        <v>12.88</v>
      </c>
      <c r="F179" s="6">
        <v>21.87</v>
      </c>
      <c r="G179" s="6">
        <v>2.33</v>
      </c>
      <c r="L179" s="14"/>
    </row>
    <row r="180" spans="1:12" ht="14" x14ac:dyDescent="0.3">
      <c r="A180" s="12">
        <v>40588</v>
      </c>
      <c r="B180" s="13">
        <v>0.45833333333333331</v>
      </c>
      <c r="C180" s="14">
        <v>40588.458343576393</v>
      </c>
      <c r="D180" s="6">
        <v>6.24</v>
      </c>
      <c r="E180" s="6">
        <v>14.65</v>
      </c>
      <c r="F180" s="6">
        <v>22.44</v>
      </c>
      <c r="G180" s="6">
        <v>2.58</v>
      </c>
      <c r="L180" s="14"/>
    </row>
    <row r="181" spans="1:12" ht="14" x14ac:dyDescent="0.3">
      <c r="A181" s="12">
        <v>40588</v>
      </c>
      <c r="B181" s="13">
        <v>0.5</v>
      </c>
      <c r="C181" s="14">
        <v>40588.500010300922</v>
      </c>
      <c r="D181" s="6">
        <v>7.79</v>
      </c>
      <c r="E181" s="6">
        <v>12.68</v>
      </c>
      <c r="F181" s="6">
        <v>21.53</v>
      </c>
      <c r="G181" s="6">
        <v>1.93</v>
      </c>
      <c r="L181" s="14"/>
    </row>
    <row r="182" spans="1:12" ht="14" x14ac:dyDescent="0.3">
      <c r="A182" s="12">
        <v>40588</v>
      </c>
      <c r="B182" s="13">
        <v>0.54166666666666663</v>
      </c>
      <c r="C182" s="14">
        <v>40588.54167702546</v>
      </c>
      <c r="L182" s="14"/>
    </row>
    <row r="183" spans="1:12" ht="14" x14ac:dyDescent="0.3">
      <c r="A183" s="12">
        <v>40588</v>
      </c>
      <c r="B183" s="13">
        <v>0.58333333333333337</v>
      </c>
      <c r="C183" s="14">
        <v>40588.583343749997</v>
      </c>
      <c r="D183" s="6">
        <v>8.69</v>
      </c>
      <c r="E183" s="6">
        <v>9.9</v>
      </c>
      <c r="F183" s="6">
        <v>22.02</v>
      </c>
      <c r="G183" s="6">
        <v>2.4700000000000002</v>
      </c>
      <c r="L183" s="14"/>
    </row>
    <row r="184" spans="1:12" ht="14" x14ac:dyDescent="0.3">
      <c r="A184" s="12">
        <v>40588</v>
      </c>
      <c r="B184" s="13">
        <v>0.625</v>
      </c>
      <c r="C184" s="14">
        <v>40588.625010474534</v>
      </c>
      <c r="D184" s="6">
        <v>8.64</v>
      </c>
      <c r="E184" s="6">
        <v>11.43</v>
      </c>
      <c r="F184" s="6">
        <v>22.47</v>
      </c>
      <c r="G184" s="6">
        <v>2.4</v>
      </c>
      <c r="L184" s="14"/>
    </row>
    <row r="185" spans="1:12" ht="14" x14ac:dyDescent="0.3">
      <c r="A185" s="12">
        <v>40588</v>
      </c>
      <c r="B185" s="13">
        <v>0.66666666666666663</v>
      </c>
      <c r="C185" s="14">
        <v>40588.666677199071</v>
      </c>
      <c r="D185" s="6">
        <v>6.87</v>
      </c>
      <c r="E185" s="6">
        <v>12.86</v>
      </c>
      <c r="F185" s="6">
        <v>22.62</v>
      </c>
      <c r="G185" s="6">
        <v>3.01</v>
      </c>
      <c r="L185" s="14"/>
    </row>
    <row r="186" spans="1:12" ht="14" x14ac:dyDescent="0.3">
      <c r="A186" s="12">
        <v>40588</v>
      </c>
      <c r="B186" s="13">
        <v>0.70833333333333337</v>
      </c>
      <c r="C186" s="14">
        <v>40588.708343923608</v>
      </c>
      <c r="D186" s="6">
        <v>9.18</v>
      </c>
      <c r="E186" s="6">
        <v>11.1</v>
      </c>
      <c r="F186" s="6">
        <v>22.42</v>
      </c>
      <c r="G186" s="6">
        <v>2.97</v>
      </c>
      <c r="L186" s="14"/>
    </row>
    <row r="187" spans="1:12" ht="14" x14ac:dyDescent="0.3">
      <c r="A187" s="12">
        <v>40588</v>
      </c>
      <c r="B187" s="13">
        <v>0.75</v>
      </c>
      <c r="C187" s="14">
        <v>40588.750010648146</v>
      </c>
      <c r="D187" s="6">
        <v>7.52</v>
      </c>
      <c r="E187" s="6">
        <v>11.01</v>
      </c>
      <c r="F187" s="6">
        <v>22.33</v>
      </c>
      <c r="G187" s="6">
        <v>2.63</v>
      </c>
      <c r="L187" s="14"/>
    </row>
    <row r="188" spans="1:12" ht="14" x14ac:dyDescent="0.3">
      <c r="A188" s="12">
        <v>40588</v>
      </c>
      <c r="B188" s="13">
        <v>0.79166666666666663</v>
      </c>
      <c r="C188" s="14">
        <v>40588.791677372683</v>
      </c>
      <c r="D188" s="6">
        <v>6.69</v>
      </c>
      <c r="E188" s="6">
        <v>10.49</v>
      </c>
      <c r="F188" s="6">
        <v>22</v>
      </c>
      <c r="G188" s="6">
        <v>2.8</v>
      </c>
      <c r="L188" s="14"/>
    </row>
    <row r="189" spans="1:12" ht="14" x14ac:dyDescent="0.3">
      <c r="A189" s="12">
        <v>40588</v>
      </c>
      <c r="B189" s="13">
        <v>0.83333333333333337</v>
      </c>
      <c r="C189" s="14">
        <v>40588.83334409722</v>
      </c>
      <c r="D189" s="6">
        <v>5.92</v>
      </c>
      <c r="E189" s="6">
        <v>10.45</v>
      </c>
      <c r="F189" s="6">
        <v>21.8</v>
      </c>
      <c r="G189" s="6">
        <v>2.58</v>
      </c>
      <c r="L189" s="14"/>
    </row>
    <row r="190" spans="1:12" ht="14" x14ac:dyDescent="0.3">
      <c r="A190" s="12">
        <v>40588</v>
      </c>
      <c r="B190" s="13">
        <v>0.875</v>
      </c>
      <c r="C190" s="14">
        <v>40588.875010821757</v>
      </c>
      <c r="D190" s="6">
        <v>6.85</v>
      </c>
      <c r="E190" s="6">
        <v>9.2100000000000009</v>
      </c>
      <c r="F190" s="6">
        <v>21.76</v>
      </c>
      <c r="G190" s="6">
        <v>1.85</v>
      </c>
      <c r="L190" s="14"/>
    </row>
    <row r="191" spans="1:12" ht="14" x14ac:dyDescent="0.3">
      <c r="A191" s="12">
        <v>40588</v>
      </c>
      <c r="B191" s="13">
        <v>0.91666666666666663</v>
      </c>
      <c r="C191" s="14">
        <v>40588.916677546295</v>
      </c>
      <c r="D191" s="6">
        <v>8.49</v>
      </c>
      <c r="E191" s="6">
        <v>7.65</v>
      </c>
      <c r="F191" s="6">
        <v>21.67</v>
      </c>
      <c r="G191" s="6">
        <v>1.53</v>
      </c>
      <c r="L191" s="14"/>
    </row>
    <row r="192" spans="1:12" ht="14" x14ac:dyDescent="0.3">
      <c r="A192" s="12">
        <v>40588</v>
      </c>
      <c r="B192" s="13">
        <v>0.95833333333333337</v>
      </c>
      <c r="C192" s="14">
        <v>40588.958344270832</v>
      </c>
      <c r="D192" s="6">
        <v>8.4600000000000009</v>
      </c>
      <c r="E192" s="6">
        <v>7.57</v>
      </c>
      <c r="F192" s="6">
        <v>21.45</v>
      </c>
      <c r="G192" s="6">
        <v>1.48</v>
      </c>
      <c r="L192" s="14"/>
    </row>
    <row r="193" spans="1:12" ht="14.5" x14ac:dyDescent="0.35">
      <c r="A193" s="12">
        <v>40589</v>
      </c>
      <c r="B193" s="19" t="s">
        <v>29</v>
      </c>
      <c r="C193" s="14">
        <v>40589.000010995369</v>
      </c>
      <c r="D193" s="6">
        <v>5.59</v>
      </c>
      <c r="E193" s="6">
        <v>9.08</v>
      </c>
      <c r="F193" s="6">
        <v>20.41</v>
      </c>
      <c r="G193" s="6">
        <v>0.84</v>
      </c>
      <c r="L193" s="14"/>
    </row>
    <row r="194" spans="1:12" ht="14" x14ac:dyDescent="0.3">
      <c r="A194" s="12">
        <v>40589</v>
      </c>
      <c r="B194" s="13">
        <v>4.1666666666666664E-2</v>
      </c>
      <c r="C194" s="14">
        <v>40589.041677719906</v>
      </c>
      <c r="D194" s="6">
        <v>8.0399999999999991</v>
      </c>
      <c r="E194" s="6">
        <v>4.3499999999999996</v>
      </c>
      <c r="F194" s="6">
        <v>17.579999999999998</v>
      </c>
      <c r="G194" s="6">
        <v>0.28999999999999998</v>
      </c>
      <c r="L194" s="14"/>
    </row>
    <row r="195" spans="1:12" ht="14" x14ac:dyDescent="0.3">
      <c r="A195" s="12">
        <v>40589</v>
      </c>
      <c r="B195" s="13">
        <v>8.3333333333333329E-2</v>
      </c>
      <c r="C195" s="14">
        <v>40589.083344444443</v>
      </c>
      <c r="D195" s="6">
        <v>16</v>
      </c>
      <c r="E195" s="6">
        <v>0.57999999999999996</v>
      </c>
      <c r="F195" s="6">
        <v>16.46</v>
      </c>
      <c r="G195" s="6">
        <v>0.41</v>
      </c>
      <c r="L195" s="14"/>
    </row>
    <row r="196" spans="1:12" ht="14" x14ac:dyDescent="0.3">
      <c r="A196" s="12">
        <v>40589</v>
      </c>
      <c r="B196" s="13">
        <v>0.125</v>
      </c>
      <c r="C196" s="14">
        <v>40589.125011168981</v>
      </c>
      <c r="D196" s="6">
        <v>20.100000000000001</v>
      </c>
      <c r="E196" s="6">
        <v>0.2</v>
      </c>
      <c r="F196" s="6">
        <v>16.309999999999999</v>
      </c>
      <c r="G196" s="6">
        <v>0.37</v>
      </c>
      <c r="L196" s="14"/>
    </row>
    <row r="197" spans="1:12" ht="14" x14ac:dyDescent="0.3">
      <c r="A197" s="12">
        <v>40589</v>
      </c>
      <c r="B197" s="13">
        <v>0.16666666666666666</v>
      </c>
      <c r="C197" s="14">
        <v>40589.166677893518</v>
      </c>
      <c r="D197" s="6">
        <v>21.69</v>
      </c>
      <c r="E197" s="6">
        <v>0.21</v>
      </c>
      <c r="F197" s="6">
        <v>17.239999999999998</v>
      </c>
      <c r="G197" s="6">
        <v>0.22</v>
      </c>
      <c r="L197" s="14"/>
    </row>
    <row r="198" spans="1:12" ht="14" x14ac:dyDescent="0.3">
      <c r="A198" s="12">
        <v>40589</v>
      </c>
      <c r="B198" s="13">
        <v>0.20833333333333334</v>
      </c>
      <c r="C198" s="14">
        <v>40589.208344618055</v>
      </c>
      <c r="D198" s="6">
        <v>17.940000000000001</v>
      </c>
      <c r="E198" s="6">
        <v>0.19</v>
      </c>
      <c r="F198" s="6">
        <v>17.63</v>
      </c>
      <c r="G198" s="6">
        <v>0.48</v>
      </c>
      <c r="L198" s="14"/>
    </row>
    <row r="199" spans="1:12" ht="14" x14ac:dyDescent="0.3">
      <c r="A199" s="12">
        <v>40589</v>
      </c>
      <c r="B199" s="13">
        <v>0.25</v>
      </c>
      <c r="C199" s="14">
        <v>40589.250011342592</v>
      </c>
      <c r="D199" s="6">
        <v>22.2</v>
      </c>
      <c r="E199" s="6">
        <v>0.19</v>
      </c>
      <c r="F199" s="6">
        <v>17.12</v>
      </c>
      <c r="G199" s="6">
        <v>0.17</v>
      </c>
      <c r="L199" s="14"/>
    </row>
    <row r="200" spans="1:12" ht="14" x14ac:dyDescent="0.3">
      <c r="A200" s="12">
        <v>40589</v>
      </c>
      <c r="B200" s="13">
        <v>0.29166666666666669</v>
      </c>
      <c r="C200" s="14">
        <v>40589.291678067129</v>
      </c>
      <c r="D200" s="6">
        <v>35.57</v>
      </c>
      <c r="E200" s="6">
        <v>0.6</v>
      </c>
      <c r="F200" s="6">
        <v>18.12</v>
      </c>
      <c r="G200" s="6">
        <v>0.47</v>
      </c>
      <c r="L200" s="14"/>
    </row>
    <row r="201" spans="1:12" ht="14" x14ac:dyDescent="0.3">
      <c r="A201" s="12">
        <v>40589</v>
      </c>
      <c r="B201" s="13">
        <v>0.33333333333333331</v>
      </c>
      <c r="C201" s="14">
        <v>40589.333344791667</v>
      </c>
      <c r="D201" s="6">
        <v>38.78</v>
      </c>
      <c r="E201" s="6">
        <v>1.36</v>
      </c>
      <c r="F201" s="6">
        <v>19.21</v>
      </c>
      <c r="G201" s="6">
        <v>1.02</v>
      </c>
      <c r="L201" s="14"/>
    </row>
    <row r="202" spans="1:12" ht="14" x14ac:dyDescent="0.3">
      <c r="A202" s="12">
        <v>40589</v>
      </c>
      <c r="B202" s="13">
        <v>0.375</v>
      </c>
      <c r="C202" s="14">
        <v>40589.375011516204</v>
      </c>
      <c r="D202" s="6">
        <v>40.090000000000003</v>
      </c>
      <c r="E202" s="6">
        <v>3.49</v>
      </c>
      <c r="F202" s="6">
        <v>21.04</v>
      </c>
      <c r="G202" s="6">
        <v>0.8</v>
      </c>
      <c r="L202" s="14"/>
    </row>
    <row r="203" spans="1:12" ht="14" x14ac:dyDescent="0.3">
      <c r="A203" s="12">
        <v>40589</v>
      </c>
      <c r="B203" s="13">
        <v>0.41666666666666669</v>
      </c>
      <c r="C203" s="14">
        <v>40589.416678240741</v>
      </c>
      <c r="D203" s="6">
        <v>24.94</v>
      </c>
      <c r="E203" s="6">
        <v>7.58</v>
      </c>
      <c r="F203" s="6">
        <v>22.19</v>
      </c>
      <c r="G203" s="6">
        <v>1.54</v>
      </c>
      <c r="L203" s="14"/>
    </row>
    <row r="204" spans="1:12" ht="14" x14ac:dyDescent="0.3">
      <c r="A204" s="12">
        <v>40589</v>
      </c>
      <c r="B204" s="13">
        <v>0.45833333333333331</v>
      </c>
      <c r="C204" s="14">
        <v>40589.458344965278</v>
      </c>
      <c r="D204" s="6">
        <v>14.5</v>
      </c>
      <c r="E204" s="6">
        <v>8.93</v>
      </c>
      <c r="F204" s="6">
        <v>22.22</v>
      </c>
      <c r="G204" s="6">
        <v>1.77</v>
      </c>
      <c r="L204" s="14"/>
    </row>
    <row r="205" spans="1:12" ht="14" x14ac:dyDescent="0.3">
      <c r="A205" s="12">
        <v>40589</v>
      </c>
      <c r="B205" s="13">
        <v>0.5</v>
      </c>
      <c r="C205" s="14">
        <v>40589.500011689815</v>
      </c>
      <c r="D205" s="6">
        <v>8.2200000000000006</v>
      </c>
      <c r="E205" s="6">
        <v>12.13</v>
      </c>
      <c r="F205" s="6">
        <v>22.99</v>
      </c>
      <c r="G205" s="6">
        <v>1.96</v>
      </c>
      <c r="L205" s="14"/>
    </row>
    <row r="206" spans="1:12" ht="14" x14ac:dyDescent="0.3">
      <c r="A206" s="12">
        <v>40589</v>
      </c>
      <c r="B206" s="13">
        <v>0.54166666666666663</v>
      </c>
      <c r="C206" s="14">
        <v>40589.541678414353</v>
      </c>
      <c r="D206" s="6">
        <v>3.68</v>
      </c>
      <c r="E206" s="6">
        <v>15.59</v>
      </c>
      <c r="F206" s="6">
        <v>24.24</v>
      </c>
      <c r="G206" s="6">
        <v>2.2200000000000002</v>
      </c>
      <c r="L206" s="14"/>
    </row>
    <row r="207" spans="1:12" ht="14" x14ac:dyDescent="0.3">
      <c r="A207" s="12">
        <v>40589</v>
      </c>
      <c r="B207" s="13">
        <v>0.58333333333333337</v>
      </c>
      <c r="C207" s="14">
        <v>40589.58334513889</v>
      </c>
      <c r="D207" s="6">
        <v>4.2699999999999996</v>
      </c>
      <c r="E207" s="6">
        <v>16.23</v>
      </c>
      <c r="F207" s="6">
        <v>24.28</v>
      </c>
      <c r="G207" s="6">
        <v>2.85</v>
      </c>
      <c r="L207" s="14"/>
    </row>
    <row r="208" spans="1:12" ht="14" x14ac:dyDescent="0.3">
      <c r="A208" s="12">
        <v>40589</v>
      </c>
      <c r="B208" s="13">
        <v>0.625</v>
      </c>
      <c r="C208" s="14">
        <v>40589.625011863427</v>
      </c>
      <c r="D208" s="6">
        <v>3.66</v>
      </c>
      <c r="E208" s="6">
        <v>17.88</v>
      </c>
      <c r="F208" s="6">
        <v>25.01</v>
      </c>
      <c r="G208" s="6">
        <v>2.62</v>
      </c>
      <c r="L208" s="14"/>
    </row>
    <row r="209" spans="1:12" ht="14" x14ac:dyDescent="0.3">
      <c r="A209" s="12">
        <v>40589</v>
      </c>
      <c r="B209" s="13">
        <v>0.66666666666666663</v>
      </c>
      <c r="C209" s="14">
        <v>40589.666678587964</v>
      </c>
      <c r="D209" s="6">
        <v>5.12</v>
      </c>
      <c r="E209" s="6">
        <v>16.5</v>
      </c>
      <c r="F209" s="6">
        <v>24.54</v>
      </c>
      <c r="G209" s="6">
        <v>2.35</v>
      </c>
      <c r="L209" s="14"/>
    </row>
    <row r="210" spans="1:12" ht="14" x14ac:dyDescent="0.3">
      <c r="A210" s="12">
        <v>40589</v>
      </c>
      <c r="B210" s="13">
        <v>0.70833333333333337</v>
      </c>
      <c r="C210" s="14">
        <v>40589.708345312501</v>
      </c>
      <c r="D210" s="6">
        <v>6.82</v>
      </c>
      <c r="E210" s="6">
        <v>14.72</v>
      </c>
      <c r="F210" s="6">
        <v>24.13</v>
      </c>
      <c r="G210" s="6">
        <v>2.42</v>
      </c>
      <c r="L210" s="14"/>
    </row>
    <row r="211" spans="1:12" ht="14" x14ac:dyDescent="0.3">
      <c r="A211" s="12">
        <v>40589</v>
      </c>
      <c r="B211" s="13">
        <v>0.75</v>
      </c>
      <c r="C211" s="14">
        <v>40589.750012037039</v>
      </c>
      <c r="D211" s="6">
        <v>8.23</v>
      </c>
      <c r="E211" s="6">
        <v>11.75</v>
      </c>
      <c r="F211" s="6">
        <v>23.32</v>
      </c>
      <c r="G211" s="6">
        <v>1.98</v>
      </c>
      <c r="L211" s="14"/>
    </row>
    <row r="212" spans="1:12" ht="14" x14ac:dyDescent="0.3">
      <c r="A212" s="12">
        <v>40589</v>
      </c>
      <c r="B212" s="13">
        <v>0.79166666666666663</v>
      </c>
      <c r="C212" s="14">
        <v>40589.791678761576</v>
      </c>
      <c r="D212" s="6">
        <v>8.06</v>
      </c>
      <c r="E212" s="6">
        <v>9.0299999999999994</v>
      </c>
      <c r="F212" s="6">
        <v>22.21</v>
      </c>
      <c r="G212" s="6">
        <v>1.97</v>
      </c>
      <c r="L212" s="14"/>
    </row>
    <row r="213" spans="1:12" ht="14" x14ac:dyDescent="0.3">
      <c r="A213" s="12">
        <v>40589</v>
      </c>
      <c r="B213" s="13">
        <v>0.83333333333333337</v>
      </c>
      <c r="C213" s="14">
        <v>40589.833345486113</v>
      </c>
      <c r="D213" s="6">
        <v>10.130000000000001</v>
      </c>
      <c r="E213" s="6">
        <v>5.79</v>
      </c>
      <c r="F213" s="6">
        <v>21.56</v>
      </c>
      <c r="G213" s="6">
        <v>1.7</v>
      </c>
      <c r="L213" s="14"/>
    </row>
    <row r="214" spans="1:12" ht="14" x14ac:dyDescent="0.3">
      <c r="A214" s="12">
        <v>40589</v>
      </c>
      <c r="B214" s="13">
        <v>0.875</v>
      </c>
      <c r="C214" s="14">
        <v>40589.87501221065</v>
      </c>
      <c r="D214" s="6">
        <v>15.96</v>
      </c>
      <c r="E214" s="6">
        <v>2.4</v>
      </c>
      <c r="F214" s="6">
        <v>21.09</v>
      </c>
      <c r="G214" s="6">
        <v>0.89</v>
      </c>
      <c r="L214" s="14"/>
    </row>
    <row r="215" spans="1:12" ht="14" x14ac:dyDescent="0.3">
      <c r="A215" s="12">
        <v>40589</v>
      </c>
      <c r="B215" s="13">
        <v>0.91666666666666663</v>
      </c>
      <c r="C215" s="14">
        <v>40589.916678935188</v>
      </c>
      <c r="D215" s="6">
        <v>17.38</v>
      </c>
      <c r="E215" s="6">
        <v>0.59</v>
      </c>
      <c r="F215" s="6">
        <v>20.48</v>
      </c>
      <c r="G215" s="6">
        <v>0.55000000000000004</v>
      </c>
      <c r="L215" s="14"/>
    </row>
    <row r="216" spans="1:12" ht="14" x14ac:dyDescent="0.3">
      <c r="A216" s="12">
        <v>40589</v>
      </c>
      <c r="B216" s="13">
        <v>0.95833333333333337</v>
      </c>
      <c r="C216" s="14">
        <v>40589.958345659725</v>
      </c>
      <c r="D216" s="6">
        <v>18.48</v>
      </c>
      <c r="E216" s="6">
        <v>0.27</v>
      </c>
      <c r="F216" s="6">
        <v>20.010000000000002</v>
      </c>
      <c r="G216" s="6">
        <v>0.42</v>
      </c>
      <c r="L216" s="14"/>
    </row>
    <row r="217" spans="1:12" ht="14.5" x14ac:dyDescent="0.35">
      <c r="A217" s="12">
        <v>40590</v>
      </c>
      <c r="B217" s="19" t="s">
        <v>29</v>
      </c>
      <c r="C217" s="14">
        <v>40590.000012384262</v>
      </c>
      <c r="D217" s="6">
        <v>22.74</v>
      </c>
      <c r="E217" s="6">
        <v>0.15</v>
      </c>
      <c r="F217" s="6">
        <v>18.690000000000001</v>
      </c>
      <c r="G217" s="6">
        <v>0.17</v>
      </c>
      <c r="L217" s="14"/>
    </row>
    <row r="218" spans="1:12" ht="14" x14ac:dyDescent="0.3">
      <c r="A218" s="12">
        <v>40590</v>
      </c>
      <c r="B218" s="13">
        <v>4.1666666666666664E-2</v>
      </c>
      <c r="C218" s="14">
        <v>40590.041679108799</v>
      </c>
      <c r="D218" s="6">
        <v>19.23</v>
      </c>
      <c r="E218" s="6">
        <v>0.27</v>
      </c>
      <c r="F218" s="6">
        <v>18.47</v>
      </c>
      <c r="G218" s="6">
        <v>0.15</v>
      </c>
      <c r="L218" s="14"/>
    </row>
    <row r="219" spans="1:12" ht="14" x14ac:dyDescent="0.3">
      <c r="A219" s="12">
        <v>40590</v>
      </c>
      <c r="B219" s="13">
        <v>8.3333333333333329E-2</v>
      </c>
      <c r="C219" s="14">
        <v>40590.083345833336</v>
      </c>
      <c r="D219" s="6">
        <v>11.21</v>
      </c>
      <c r="E219" s="6">
        <v>1.43</v>
      </c>
      <c r="F219" s="6">
        <v>18.87</v>
      </c>
      <c r="G219" s="6">
        <v>0.53</v>
      </c>
      <c r="L219" s="14"/>
    </row>
    <row r="220" spans="1:12" ht="14" x14ac:dyDescent="0.3">
      <c r="A220" s="12">
        <v>40590</v>
      </c>
      <c r="B220" s="13">
        <v>0.125</v>
      </c>
      <c r="C220" s="14">
        <v>40590.125012557874</v>
      </c>
      <c r="D220" s="6">
        <v>9.15</v>
      </c>
      <c r="E220" s="6">
        <v>2.44</v>
      </c>
      <c r="F220" s="6">
        <v>19</v>
      </c>
      <c r="G220" s="6">
        <v>0.37</v>
      </c>
      <c r="L220" s="14"/>
    </row>
    <row r="221" spans="1:12" ht="14" x14ac:dyDescent="0.3">
      <c r="A221" s="12">
        <v>40590</v>
      </c>
      <c r="B221" s="13">
        <v>0.16666666666666666</v>
      </c>
      <c r="C221" s="14">
        <v>40590.166679282411</v>
      </c>
      <c r="D221" s="6">
        <v>10.98</v>
      </c>
      <c r="E221" s="6">
        <v>0.63</v>
      </c>
      <c r="F221" s="6">
        <v>18.920000000000002</v>
      </c>
      <c r="G221" s="6">
        <v>0.09</v>
      </c>
      <c r="L221" s="14"/>
    </row>
    <row r="222" spans="1:12" ht="14" x14ac:dyDescent="0.3">
      <c r="A222" s="12">
        <v>40590</v>
      </c>
      <c r="B222" s="13">
        <v>0.20833333333333334</v>
      </c>
      <c r="C222" s="14">
        <v>40590.208346006948</v>
      </c>
      <c r="D222" s="6">
        <v>19.62</v>
      </c>
      <c r="E222" s="6">
        <v>0.14000000000000001</v>
      </c>
      <c r="F222" s="6">
        <v>18.66</v>
      </c>
      <c r="G222" s="6">
        <v>0.27</v>
      </c>
      <c r="L222" s="14"/>
    </row>
    <row r="223" spans="1:12" ht="14" x14ac:dyDescent="0.3">
      <c r="A223" s="12">
        <v>40590</v>
      </c>
      <c r="B223" s="13">
        <v>0.25</v>
      </c>
      <c r="C223" s="14">
        <v>40590.250012731478</v>
      </c>
      <c r="D223" s="6">
        <v>65.349999999999994</v>
      </c>
      <c r="E223" s="6">
        <v>0.21</v>
      </c>
      <c r="F223" s="6">
        <v>18.88</v>
      </c>
      <c r="G223" s="6">
        <v>0.52</v>
      </c>
      <c r="L223" s="14"/>
    </row>
    <row r="224" spans="1:12" ht="14" x14ac:dyDescent="0.3">
      <c r="A224" s="12">
        <v>40590</v>
      </c>
      <c r="B224" s="13">
        <v>0.29166666666666669</v>
      </c>
      <c r="C224" s="14">
        <v>40590.291679456015</v>
      </c>
      <c r="D224" s="6">
        <v>84.41</v>
      </c>
      <c r="E224" s="6">
        <v>0.31</v>
      </c>
      <c r="F224" s="6">
        <v>19.27</v>
      </c>
      <c r="G224" s="6">
        <v>0.46</v>
      </c>
      <c r="L224" s="14"/>
    </row>
    <row r="225" spans="1:12" ht="14" x14ac:dyDescent="0.3">
      <c r="A225" s="12">
        <v>40590</v>
      </c>
      <c r="B225" s="13">
        <v>0.33333333333333331</v>
      </c>
      <c r="C225" s="14">
        <v>40590.333346180552</v>
      </c>
      <c r="D225" s="6">
        <v>69.89</v>
      </c>
      <c r="E225" s="6">
        <v>0.77</v>
      </c>
      <c r="F225" s="6">
        <v>20.74</v>
      </c>
      <c r="G225" s="6">
        <v>0.33</v>
      </c>
      <c r="L225" s="14"/>
    </row>
    <row r="226" spans="1:12" ht="14" x14ac:dyDescent="0.3">
      <c r="A226" s="12">
        <v>40590</v>
      </c>
      <c r="B226" s="13">
        <v>0.375</v>
      </c>
      <c r="C226" s="14">
        <v>40590.37501290509</v>
      </c>
      <c r="D226" s="6">
        <v>24.3</v>
      </c>
      <c r="E226" s="6">
        <v>3.94</v>
      </c>
      <c r="F226" s="6">
        <v>22.24</v>
      </c>
      <c r="G226" s="6">
        <v>0.67</v>
      </c>
      <c r="L226" s="14"/>
    </row>
    <row r="227" spans="1:12" ht="14" x14ac:dyDescent="0.3">
      <c r="A227" s="12">
        <v>40590</v>
      </c>
      <c r="B227" s="13">
        <v>0.41666666666666669</v>
      </c>
      <c r="C227" s="14">
        <v>40590.416679629627</v>
      </c>
      <c r="D227" s="6">
        <v>22.34</v>
      </c>
      <c r="E227" s="6">
        <v>7.01</v>
      </c>
      <c r="F227" s="6">
        <v>23.63</v>
      </c>
      <c r="G227" s="6">
        <v>0.42</v>
      </c>
      <c r="L227" s="14"/>
    </row>
    <row r="228" spans="1:12" ht="14" x14ac:dyDescent="0.3">
      <c r="A228" s="12">
        <v>40590</v>
      </c>
      <c r="B228" s="13">
        <v>0.45833333333333331</v>
      </c>
      <c r="C228" s="14">
        <v>40590.458346354164</v>
      </c>
      <c r="D228" s="6">
        <v>18.68</v>
      </c>
      <c r="E228" s="6">
        <v>11.88</v>
      </c>
      <c r="F228" s="6">
        <v>24.72</v>
      </c>
      <c r="G228" s="6">
        <v>0.37</v>
      </c>
      <c r="L228" s="14"/>
    </row>
    <row r="229" spans="1:12" ht="14" x14ac:dyDescent="0.3">
      <c r="A229" s="12">
        <v>40590</v>
      </c>
      <c r="B229" s="13">
        <v>0.5</v>
      </c>
      <c r="C229" s="14">
        <v>40590.500013078701</v>
      </c>
      <c r="D229" s="6">
        <v>16.48</v>
      </c>
      <c r="E229" s="6">
        <v>17.66</v>
      </c>
      <c r="F229" s="6">
        <v>26.07</v>
      </c>
      <c r="G229" s="6">
        <v>0.42</v>
      </c>
      <c r="L229" s="14"/>
    </row>
    <row r="230" spans="1:12" ht="14" x14ac:dyDescent="0.3">
      <c r="A230" s="12">
        <v>40590</v>
      </c>
      <c r="B230" s="13">
        <v>0.54166666666666663</v>
      </c>
      <c r="C230" s="14">
        <v>40590.541679803238</v>
      </c>
      <c r="D230" s="6">
        <v>15.31</v>
      </c>
      <c r="E230" s="6">
        <v>22.35</v>
      </c>
      <c r="F230" s="6">
        <v>26.66</v>
      </c>
      <c r="G230" s="6">
        <v>0.47</v>
      </c>
      <c r="L230" s="14"/>
    </row>
    <row r="231" spans="1:12" ht="14" x14ac:dyDescent="0.3">
      <c r="A231" s="12">
        <v>40590</v>
      </c>
      <c r="B231" s="13">
        <v>0.58333333333333337</v>
      </c>
      <c r="C231" s="14">
        <v>40590.583346527776</v>
      </c>
      <c r="D231" s="6">
        <v>11.63</v>
      </c>
      <c r="E231" s="6">
        <v>31.01</v>
      </c>
      <c r="F231" s="6">
        <v>26.77</v>
      </c>
      <c r="G231" s="6">
        <v>0.78</v>
      </c>
      <c r="L231" s="14"/>
    </row>
    <row r="232" spans="1:12" ht="14" x14ac:dyDescent="0.3">
      <c r="A232" s="12">
        <v>40590</v>
      </c>
      <c r="B232" s="13">
        <v>0.625</v>
      </c>
      <c r="C232" s="14">
        <v>40590.625013252313</v>
      </c>
      <c r="D232" s="6">
        <v>10.41</v>
      </c>
      <c r="E232" s="6">
        <v>25.84</v>
      </c>
      <c r="F232" s="6">
        <v>25.36</v>
      </c>
      <c r="G232" s="6">
        <v>1.84</v>
      </c>
      <c r="L232" s="14"/>
    </row>
    <row r="233" spans="1:12" ht="14" x14ac:dyDescent="0.3">
      <c r="A233" s="12">
        <v>40590</v>
      </c>
      <c r="B233" s="13">
        <v>0.66666666666666663</v>
      </c>
      <c r="C233" s="14">
        <v>40590.66667997685</v>
      </c>
      <c r="D233" s="6">
        <v>7.34</v>
      </c>
      <c r="E233" s="6">
        <v>21</v>
      </c>
      <c r="F233" s="6">
        <v>25.36</v>
      </c>
      <c r="G233" s="6">
        <v>1.75</v>
      </c>
      <c r="L233" s="14"/>
    </row>
    <row r="234" spans="1:12" ht="14" x14ac:dyDescent="0.3">
      <c r="A234" s="12">
        <v>40590</v>
      </c>
      <c r="B234" s="13">
        <v>0.70833333333333337</v>
      </c>
      <c r="C234" s="14">
        <v>40590.708346701387</v>
      </c>
      <c r="D234" s="6">
        <v>8.36</v>
      </c>
      <c r="E234" s="6">
        <v>24</v>
      </c>
      <c r="F234" s="6">
        <v>25.39</v>
      </c>
      <c r="G234" s="6">
        <v>1.68</v>
      </c>
      <c r="L234" s="14"/>
    </row>
    <row r="235" spans="1:12" ht="14" x14ac:dyDescent="0.3">
      <c r="A235" s="12">
        <v>40590</v>
      </c>
      <c r="B235" s="13">
        <v>0.75</v>
      </c>
      <c r="C235" s="14">
        <v>40590.750013425924</v>
      </c>
      <c r="D235" s="6">
        <v>7.98</v>
      </c>
      <c r="E235" s="6">
        <v>18.350000000000001</v>
      </c>
      <c r="F235" s="6">
        <v>24.84</v>
      </c>
      <c r="G235" s="6">
        <v>1.05</v>
      </c>
      <c r="L235" s="14"/>
    </row>
    <row r="236" spans="1:12" ht="14" x14ac:dyDescent="0.3">
      <c r="A236" s="12">
        <v>40590</v>
      </c>
      <c r="B236" s="13">
        <v>0.79166666666666663</v>
      </c>
      <c r="C236" s="14">
        <v>40590.791680150462</v>
      </c>
      <c r="D236" s="6">
        <v>9.18</v>
      </c>
      <c r="E236" s="6">
        <v>9.16</v>
      </c>
      <c r="F236" s="6">
        <v>23.93</v>
      </c>
      <c r="G236" s="6">
        <v>1.63</v>
      </c>
      <c r="L236" s="14"/>
    </row>
    <row r="237" spans="1:12" ht="14" x14ac:dyDescent="0.3">
      <c r="A237" s="12">
        <v>40590</v>
      </c>
      <c r="B237" s="13">
        <v>0.83333333333333337</v>
      </c>
      <c r="C237" s="14">
        <v>40590.833346874999</v>
      </c>
      <c r="D237" s="6">
        <v>7.7</v>
      </c>
      <c r="E237" s="6">
        <v>8.56</v>
      </c>
      <c r="F237" s="6">
        <v>23.04</v>
      </c>
      <c r="G237" s="6">
        <v>1.36</v>
      </c>
      <c r="L237" s="14"/>
    </row>
    <row r="238" spans="1:12" ht="14" x14ac:dyDescent="0.3">
      <c r="A238" s="12">
        <v>40590</v>
      </c>
      <c r="B238" s="13">
        <v>0.875</v>
      </c>
      <c r="C238" s="14">
        <v>40590.875013599536</v>
      </c>
      <c r="D238" s="6">
        <v>6.94</v>
      </c>
      <c r="E238" s="6">
        <v>7.78</v>
      </c>
      <c r="F238" s="6">
        <v>22.7</v>
      </c>
      <c r="G238" s="6">
        <v>0.26</v>
      </c>
      <c r="L238" s="14"/>
    </row>
    <row r="239" spans="1:12" ht="14" x14ac:dyDescent="0.3">
      <c r="A239" s="12">
        <v>40590</v>
      </c>
      <c r="B239" s="13">
        <v>0.91666666666666663</v>
      </c>
      <c r="C239" s="14">
        <v>40590.916680324073</v>
      </c>
      <c r="D239" s="6">
        <v>4.8600000000000003</v>
      </c>
      <c r="E239" s="6">
        <v>9.3699999999999992</v>
      </c>
      <c r="F239" s="6">
        <v>22.81</v>
      </c>
      <c r="G239" s="6">
        <v>0.67</v>
      </c>
      <c r="L239" s="14"/>
    </row>
    <row r="240" spans="1:12" ht="14" x14ac:dyDescent="0.3">
      <c r="A240" s="12">
        <v>40590</v>
      </c>
      <c r="B240" s="13">
        <v>0.95833333333333337</v>
      </c>
      <c r="C240" s="14">
        <v>40590.95834704861</v>
      </c>
      <c r="D240" s="6">
        <v>3.41</v>
      </c>
      <c r="E240" s="6">
        <v>9.42</v>
      </c>
      <c r="F240" s="6">
        <v>22.96</v>
      </c>
      <c r="G240" s="6">
        <v>0.68</v>
      </c>
      <c r="L240" s="14"/>
    </row>
    <row r="241" spans="1:12" ht="14.5" x14ac:dyDescent="0.35">
      <c r="A241" s="12">
        <v>40591</v>
      </c>
      <c r="B241" s="19" t="s">
        <v>29</v>
      </c>
      <c r="C241" s="14">
        <v>40591.000013773148</v>
      </c>
      <c r="D241" s="6">
        <v>5.39</v>
      </c>
      <c r="E241" s="6">
        <v>6.59</v>
      </c>
      <c r="F241" s="6">
        <v>22.65</v>
      </c>
      <c r="G241" s="6">
        <v>0.24</v>
      </c>
      <c r="L241" s="14"/>
    </row>
    <row r="242" spans="1:12" ht="14" x14ac:dyDescent="0.3">
      <c r="A242" s="12">
        <v>40591</v>
      </c>
      <c r="B242" s="13">
        <v>4.1666666666666664E-2</v>
      </c>
      <c r="C242" s="14">
        <v>40591.041680497685</v>
      </c>
      <c r="D242" s="6">
        <v>7.55</v>
      </c>
      <c r="E242" s="6">
        <v>3.33</v>
      </c>
      <c r="F242" s="6">
        <v>21.9</v>
      </c>
      <c r="G242" s="6">
        <v>0.09</v>
      </c>
      <c r="L242" s="14"/>
    </row>
    <row r="243" spans="1:12" ht="14" x14ac:dyDescent="0.3">
      <c r="A243" s="12">
        <v>40591</v>
      </c>
      <c r="B243" s="13">
        <v>8.3333333333333329E-2</v>
      </c>
      <c r="C243" s="14">
        <v>40591.083347222222</v>
      </c>
      <c r="D243" s="6">
        <v>10.84</v>
      </c>
      <c r="E243" s="6">
        <v>0.7</v>
      </c>
      <c r="F243" s="6">
        <v>21.73</v>
      </c>
      <c r="G243" s="6">
        <v>0.17</v>
      </c>
      <c r="L243" s="14"/>
    </row>
    <row r="244" spans="1:12" ht="14" x14ac:dyDescent="0.3">
      <c r="A244" s="12">
        <v>40591</v>
      </c>
      <c r="B244" s="13">
        <v>0.125</v>
      </c>
      <c r="C244" s="14">
        <v>40591.125013946759</v>
      </c>
      <c r="D244" s="6">
        <v>13.98</v>
      </c>
      <c r="E244" s="6">
        <v>0.17</v>
      </c>
      <c r="F244" s="6">
        <v>21.9</v>
      </c>
      <c r="G244" s="6">
        <v>0.24</v>
      </c>
      <c r="L244" s="14"/>
    </row>
    <row r="245" spans="1:12" ht="14" x14ac:dyDescent="0.3">
      <c r="A245" s="12">
        <v>40591</v>
      </c>
      <c r="B245" s="13">
        <v>0.16666666666666666</v>
      </c>
      <c r="C245" s="14">
        <v>40591.166680671296</v>
      </c>
      <c r="D245" s="6">
        <v>13.91</v>
      </c>
      <c r="E245" s="6">
        <v>0.24</v>
      </c>
      <c r="F245" s="6">
        <v>22.05</v>
      </c>
      <c r="G245" s="6">
        <v>0.28999999999999998</v>
      </c>
      <c r="L245" s="14"/>
    </row>
    <row r="246" spans="1:12" ht="14" x14ac:dyDescent="0.3">
      <c r="A246" s="12">
        <v>40591</v>
      </c>
      <c r="B246" s="13">
        <v>0.20833333333333334</v>
      </c>
      <c r="C246" s="14">
        <v>40591.208347395834</v>
      </c>
      <c r="D246" s="6">
        <v>19.22</v>
      </c>
      <c r="E246" s="6">
        <v>0.13</v>
      </c>
      <c r="F246" s="6">
        <v>22.24</v>
      </c>
      <c r="G246" s="6">
        <v>0.4</v>
      </c>
      <c r="L246" s="14"/>
    </row>
    <row r="247" spans="1:12" ht="14" x14ac:dyDescent="0.3">
      <c r="A247" s="12">
        <v>40591</v>
      </c>
      <c r="B247" s="13">
        <v>0.25</v>
      </c>
      <c r="C247" s="14">
        <v>40591.250014120371</v>
      </c>
      <c r="D247" s="6">
        <v>37.549999999999997</v>
      </c>
      <c r="E247" s="6">
        <v>0.09</v>
      </c>
      <c r="F247" s="6">
        <v>21.31</v>
      </c>
      <c r="G247" s="6">
        <v>0.14000000000000001</v>
      </c>
      <c r="L247" s="14"/>
    </row>
    <row r="248" spans="1:12" ht="14" x14ac:dyDescent="0.3">
      <c r="A248" s="12">
        <v>40591</v>
      </c>
      <c r="B248" s="13">
        <v>0.29166666666666669</v>
      </c>
      <c r="C248" s="14">
        <v>40591.291680844908</v>
      </c>
      <c r="D248" s="6">
        <v>60.69</v>
      </c>
      <c r="E248" s="6">
        <v>0.47</v>
      </c>
      <c r="F248" s="6">
        <v>22.28</v>
      </c>
      <c r="G248" s="6">
        <v>0.57999999999999996</v>
      </c>
      <c r="L248" s="14"/>
    </row>
    <row r="249" spans="1:12" ht="14" x14ac:dyDescent="0.3">
      <c r="A249" s="12">
        <v>40591</v>
      </c>
      <c r="B249" s="13">
        <v>0.33333333333333331</v>
      </c>
      <c r="C249" s="14">
        <v>40591.333347569445</v>
      </c>
      <c r="D249" s="6">
        <v>25.64</v>
      </c>
      <c r="E249" s="6">
        <v>2.5499999999999998</v>
      </c>
      <c r="F249" s="6">
        <v>24.11</v>
      </c>
      <c r="G249" s="6">
        <v>1.32</v>
      </c>
      <c r="L249" s="14"/>
    </row>
    <row r="250" spans="1:12" ht="14" x14ac:dyDescent="0.3">
      <c r="A250" s="12">
        <v>40591</v>
      </c>
      <c r="B250" s="13">
        <v>0.375</v>
      </c>
      <c r="C250" s="14">
        <v>40591.375014293983</v>
      </c>
      <c r="D250" s="6">
        <v>17.38</v>
      </c>
      <c r="E250" s="6">
        <v>5.25</v>
      </c>
      <c r="F250" s="6">
        <v>24.4</v>
      </c>
      <c r="G250" s="6">
        <v>1.51</v>
      </c>
      <c r="L250" s="14"/>
    </row>
    <row r="251" spans="1:12" ht="14" x14ac:dyDescent="0.3">
      <c r="A251" s="12">
        <v>40591</v>
      </c>
      <c r="B251" s="13">
        <v>0.41666666666666669</v>
      </c>
      <c r="C251" s="14">
        <v>40591.41668101852</v>
      </c>
      <c r="D251" s="6">
        <v>10.71</v>
      </c>
      <c r="E251" s="6">
        <v>11.66</v>
      </c>
      <c r="F251" s="6">
        <v>26.45</v>
      </c>
      <c r="G251" s="6">
        <v>0.66</v>
      </c>
      <c r="L251" s="14"/>
    </row>
    <row r="252" spans="1:12" ht="14" x14ac:dyDescent="0.3">
      <c r="A252" s="12">
        <v>40591</v>
      </c>
      <c r="B252" s="13">
        <v>0.45833333333333331</v>
      </c>
      <c r="C252" s="14">
        <v>40591.458347743057</v>
      </c>
      <c r="D252" s="6">
        <v>5.27</v>
      </c>
      <c r="E252" s="6">
        <v>26.89</v>
      </c>
      <c r="F252" s="6">
        <v>29.4</v>
      </c>
      <c r="G252" s="6">
        <v>1.03</v>
      </c>
      <c r="L252" s="14"/>
    </row>
    <row r="253" spans="1:12" ht="14" x14ac:dyDescent="0.3">
      <c r="A253" s="12">
        <v>40591</v>
      </c>
      <c r="B253" s="13">
        <v>0.5</v>
      </c>
      <c r="C253" s="14">
        <v>40591.500014467594</v>
      </c>
      <c r="D253" s="6">
        <v>4.58</v>
      </c>
      <c r="E253" s="6">
        <v>37.25</v>
      </c>
      <c r="F253" s="6">
        <v>30.16</v>
      </c>
      <c r="G253" s="6">
        <v>0.74</v>
      </c>
      <c r="L253" s="14"/>
    </row>
    <row r="254" spans="1:12" ht="14" x14ac:dyDescent="0.3">
      <c r="A254" s="12">
        <v>40591</v>
      </c>
      <c r="B254" s="13">
        <v>0.54166666666666663</v>
      </c>
      <c r="C254" s="14">
        <v>40591.541681192131</v>
      </c>
      <c r="D254" s="6">
        <v>4.0599999999999996</v>
      </c>
      <c r="E254" s="6">
        <v>41.83</v>
      </c>
      <c r="F254" s="6">
        <v>30.88</v>
      </c>
      <c r="G254" s="6">
        <v>0.99</v>
      </c>
      <c r="L254" s="14"/>
    </row>
    <row r="255" spans="1:12" ht="14" x14ac:dyDescent="0.3">
      <c r="A255" s="12">
        <v>40591</v>
      </c>
      <c r="B255" s="13">
        <v>0.58333333333333337</v>
      </c>
      <c r="C255" s="14">
        <v>40591.583347916669</v>
      </c>
      <c r="D255" s="6">
        <v>3.88</v>
      </c>
      <c r="E255" s="6">
        <v>40.840000000000003</v>
      </c>
      <c r="F255" s="6">
        <v>31.51</v>
      </c>
      <c r="G255" s="6">
        <v>0.92</v>
      </c>
      <c r="L255" s="14"/>
    </row>
    <row r="256" spans="1:12" ht="14" x14ac:dyDescent="0.3">
      <c r="A256" s="12">
        <v>40591</v>
      </c>
      <c r="B256" s="13">
        <v>0.625</v>
      </c>
      <c r="C256" s="14">
        <v>40591.625014641206</v>
      </c>
      <c r="D256" s="6">
        <v>5.12</v>
      </c>
      <c r="E256" s="6">
        <v>41.76</v>
      </c>
      <c r="F256" s="6">
        <v>30.17</v>
      </c>
      <c r="G256" s="6">
        <v>0.66</v>
      </c>
      <c r="L256" s="14"/>
    </row>
    <row r="257" spans="1:12" ht="14" x14ac:dyDescent="0.3">
      <c r="A257" s="12">
        <v>40591</v>
      </c>
      <c r="B257" s="13">
        <v>0.66666666666666663</v>
      </c>
      <c r="C257" s="14">
        <v>40591.666681365743</v>
      </c>
      <c r="D257" s="6">
        <v>11.17</v>
      </c>
      <c r="E257" s="6">
        <v>36.42</v>
      </c>
      <c r="F257" s="6">
        <v>28.95</v>
      </c>
      <c r="G257" s="6">
        <v>1.62</v>
      </c>
      <c r="L257" s="14"/>
    </row>
    <row r="258" spans="1:12" ht="14" x14ac:dyDescent="0.3">
      <c r="A258" s="12">
        <v>40591</v>
      </c>
      <c r="B258" s="13">
        <v>0.70833333333333337</v>
      </c>
      <c r="C258" s="14">
        <v>40591.70834809028</v>
      </c>
      <c r="D258" s="6">
        <v>11.16</v>
      </c>
      <c r="E258" s="6">
        <v>37.659999999999997</v>
      </c>
      <c r="F258" s="6">
        <v>29.19</v>
      </c>
      <c r="G258" s="6">
        <v>1.45</v>
      </c>
      <c r="L258" s="14"/>
    </row>
    <row r="259" spans="1:12" ht="14" x14ac:dyDescent="0.3">
      <c r="A259" s="12">
        <v>40591</v>
      </c>
      <c r="B259" s="13">
        <v>0.75</v>
      </c>
      <c r="C259" s="14">
        <v>40591.750014814817</v>
      </c>
      <c r="D259" s="6">
        <v>12.8</v>
      </c>
      <c r="E259" s="6">
        <v>31.18</v>
      </c>
      <c r="F259" s="6">
        <v>28.4</v>
      </c>
      <c r="G259" s="6">
        <v>1.07</v>
      </c>
      <c r="L259" s="14"/>
    </row>
    <row r="260" spans="1:12" ht="14" x14ac:dyDescent="0.3">
      <c r="A260" s="12">
        <v>40591</v>
      </c>
      <c r="B260" s="13">
        <v>0.79166666666666663</v>
      </c>
      <c r="C260" s="14">
        <v>40591.791681539355</v>
      </c>
      <c r="D260" s="6">
        <v>11.98</v>
      </c>
      <c r="E260" s="6">
        <v>32.79</v>
      </c>
      <c r="F260" s="6">
        <v>26.89</v>
      </c>
      <c r="G260" s="6">
        <v>0.79</v>
      </c>
      <c r="L260" s="14"/>
    </row>
    <row r="261" spans="1:12" ht="14" x14ac:dyDescent="0.3">
      <c r="A261" s="12">
        <v>40591</v>
      </c>
      <c r="B261" s="13">
        <v>0.83333333333333337</v>
      </c>
      <c r="C261" s="14">
        <v>40591.833348263892</v>
      </c>
      <c r="D261" s="6">
        <v>13.23</v>
      </c>
      <c r="E261" s="6">
        <v>29.86</v>
      </c>
      <c r="F261" s="6">
        <v>25.97</v>
      </c>
      <c r="G261" s="6">
        <v>1.0900000000000001</v>
      </c>
      <c r="L261" s="14"/>
    </row>
    <row r="262" spans="1:12" ht="14" x14ac:dyDescent="0.3">
      <c r="A262" s="12">
        <v>40591</v>
      </c>
      <c r="B262" s="13">
        <v>0.875</v>
      </c>
      <c r="C262" s="14">
        <v>40591.875014988429</v>
      </c>
      <c r="D262" s="6">
        <v>13.12</v>
      </c>
      <c r="E262" s="6">
        <v>23.81</v>
      </c>
      <c r="F262" s="6">
        <v>25.6</v>
      </c>
      <c r="G262" s="6">
        <v>0.15</v>
      </c>
      <c r="L262" s="14"/>
    </row>
    <row r="263" spans="1:12" ht="14" x14ac:dyDescent="0.3">
      <c r="A263" s="12">
        <v>40591</v>
      </c>
      <c r="B263" s="13">
        <v>0.91666666666666663</v>
      </c>
      <c r="C263" s="14">
        <v>40591.916681712966</v>
      </c>
      <c r="D263" s="6">
        <v>18.239999999999998</v>
      </c>
      <c r="E263" s="6">
        <v>11.44</v>
      </c>
      <c r="F263" s="6">
        <v>24.25</v>
      </c>
      <c r="G263" s="6">
        <v>0.49</v>
      </c>
      <c r="L263" s="14"/>
    </row>
    <row r="264" spans="1:12" ht="14" x14ac:dyDescent="0.3">
      <c r="A264" s="12">
        <v>40591</v>
      </c>
      <c r="B264" s="13">
        <v>0.95833333333333337</v>
      </c>
      <c r="C264" s="14">
        <v>40591.958348437503</v>
      </c>
      <c r="D264" s="6">
        <v>32.11</v>
      </c>
      <c r="E264" s="6">
        <v>3.78</v>
      </c>
      <c r="F264" s="6">
        <v>23.15</v>
      </c>
      <c r="G264" s="6">
        <v>0.14000000000000001</v>
      </c>
      <c r="L264" s="14"/>
    </row>
    <row r="265" spans="1:12" ht="14.5" x14ac:dyDescent="0.35">
      <c r="A265" s="12">
        <v>40592</v>
      </c>
      <c r="B265" s="19" t="s">
        <v>29</v>
      </c>
      <c r="C265" s="14">
        <v>40592.000015162041</v>
      </c>
      <c r="D265" s="6">
        <v>21.51</v>
      </c>
      <c r="E265" s="6">
        <v>0.39</v>
      </c>
      <c r="F265" s="6">
        <v>22.75</v>
      </c>
      <c r="G265" s="6">
        <v>0.18</v>
      </c>
      <c r="L265" s="14"/>
    </row>
    <row r="266" spans="1:12" ht="14" x14ac:dyDescent="0.3">
      <c r="A266" s="12">
        <v>40592</v>
      </c>
      <c r="B266" s="13">
        <v>4.1666666666666664E-2</v>
      </c>
      <c r="C266" s="14">
        <v>40592.041681886571</v>
      </c>
      <c r="D266" s="6">
        <v>35.880000000000003</v>
      </c>
      <c r="E266" s="6">
        <v>0</v>
      </c>
      <c r="F266" s="6">
        <v>22.85</v>
      </c>
      <c r="G266" s="6">
        <v>0.15</v>
      </c>
      <c r="L266" s="14"/>
    </row>
    <row r="267" spans="1:12" ht="14" x14ac:dyDescent="0.3">
      <c r="A267" s="12">
        <v>40592</v>
      </c>
      <c r="B267" s="13">
        <v>8.3333333333333329E-2</v>
      </c>
      <c r="C267" s="14">
        <v>40592.083348611108</v>
      </c>
      <c r="D267" s="6">
        <v>28.23</v>
      </c>
      <c r="E267" s="6">
        <v>2.5499999999999998</v>
      </c>
      <c r="F267" s="6">
        <v>22.73</v>
      </c>
      <c r="G267" s="6">
        <v>0.99</v>
      </c>
      <c r="L267" s="14"/>
    </row>
    <row r="268" spans="1:12" ht="14" x14ac:dyDescent="0.3">
      <c r="A268" s="12">
        <v>40592</v>
      </c>
      <c r="B268" s="13">
        <v>0.125</v>
      </c>
      <c r="C268" s="14">
        <v>40592.125015335645</v>
      </c>
      <c r="D268" s="6">
        <v>8.5500000000000007</v>
      </c>
      <c r="E268" s="6">
        <v>17.48</v>
      </c>
      <c r="F268" s="6">
        <v>22.68</v>
      </c>
      <c r="G268" s="6">
        <v>1.37</v>
      </c>
      <c r="L268" s="14"/>
    </row>
    <row r="269" spans="1:12" ht="14" x14ac:dyDescent="0.3">
      <c r="A269" s="12">
        <v>40592</v>
      </c>
      <c r="B269" s="13">
        <v>0.16666666666666666</v>
      </c>
      <c r="C269" s="14">
        <v>40592.166682060182</v>
      </c>
      <c r="D269" s="6">
        <v>6.71</v>
      </c>
      <c r="E269" s="6">
        <v>18.489999999999998</v>
      </c>
      <c r="F269" s="6">
        <v>22.56</v>
      </c>
      <c r="G269" s="6">
        <v>1.76</v>
      </c>
      <c r="L269" s="14"/>
    </row>
    <row r="270" spans="1:12" ht="14" x14ac:dyDescent="0.3">
      <c r="A270" s="12">
        <v>40592</v>
      </c>
      <c r="B270" s="13">
        <v>0.20833333333333334</v>
      </c>
      <c r="C270" s="14">
        <v>40592.208348784719</v>
      </c>
      <c r="D270" s="6">
        <v>7.37</v>
      </c>
      <c r="E270" s="6">
        <v>14.39</v>
      </c>
      <c r="F270" s="6">
        <v>22.38</v>
      </c>
      <c r="G270" s="6">
        <v>1.01</v>
      </c>
      <c r="L270" s="14"/>
    </row>
    <row r="271" spans="1:12" ht="14" x14ac:dyDescent="0.3">
      <c r="A271" s="12">
        <v>40592</v>
      </c>
      <c r="B271" s="13">
        <v>0.25</v>
      </c>
      <c r="C271" s="14">
        <v>40592.250015509257</v>
      </c>
      <c r="D271" s="6">
        <v>11.21</v>
      </c>
      <c r="E271" s="6">
        <v>9.91</v>
      </c>
      <c r="F271" s="6">
        <v>22.45</v>
      </c>
      <c r="G271" s="6">
        <v>0.94</v>
      </c>
      <c r="L271" s="14"/>
    </row>
    <row r="272" spans="1:12" ht="14" x14ac:dyDescent="0.3">
      <c r="A272" s="12">
        <v>40592</v>
      </c>
      <c r="B272" s="13">
        <v>0.29166666666666669</v>
      </c>
      <c r="C272" s="14">
        <v>40592.291682233794</v>
      </c>
      <c r="D272" s="6">
        <v>12.11</v>
      </c>
      <c r="E272" s="6">
        <v>8.1300000000000008</v>
      </c>
      <c r="F272" s="6">
        <v>22.52</v>
      </c>
      <c r="G272" s="6">
        <v>1.1299999999999999</v>
      </c>
      <c r="L272" s="14"/>
    </row>
    <row r="273" spans="1:12" ht="14" x14ac:dyDescent="0.3">
      <c r="A273" s="12">
        <v>40592</v>
      </c>
      <c r="B273" s="13">
        <v>0.33333333333333331</v>
      </c>
      <c r="C273" s="14">
        <v>40592.333348958331</v>
      </c>
      <c r="D273" s="6">
        <v>13.04</v>
      </c>
      <c r="E273" s="6">
        <v>7.63</v>
      </c>
      <c r="F273" s="6">
        <v>22.91</v>
      </c>
      <c r="G273" s="6">
        <v>1.07</v>
      </c>
      <c r="L273" s="14"/>
    </row>
    <row r="274" spans="1:12" ht="14" x14ac:dyDescent="0.3">
      <c r="A274" s="12">
        <v>40592</v>
      </c>
      <c r="B274" s="13">
        <v>0.375</v>
      </c>
      <c r="C274" s="14">
        <v>40592.375015682868</v>
      </c>
      <c r="D274" s="6">
        <v>11.04</v>
      </c>
      <c r="E274" s="6">
        <v>10.93</v>
      </c>
      <c r="F274" s="6">
        <v>23.46</v>
      </c>
      <c r="G274" s="6">
        <v>1.42</v>
      </c>
      <c r="L274" s="14"/>
    </row>
    <row r="275" spans="1:12" ht="14" x14ac:dyDescent="0.3">
      <c r="A275" s="12">
        <v>40592</v>
      </c>
      <c r="B275" s="13">
        <v>0.41666666666666669</v>
      </c>
      <c r="C275" s="14">
        <v>40592.416682407405</v>
      </c>
      <c r="D275" s="6">
        <v>6.93</v>
      </c>
      <c r="E275" s="6">
        <v>15.63</v>
      </c>
      <c r="F275" s="6">
        <v>23.58</v>
      </c>
      <c r="G275" s="6">
        <v>1.51</v>
      </c>
      <c r="L275" s="14"/>
    </row>
    <row r="276" spans="1:12" ht="14" x14ac:dyDescent="0.3">
      <c r="A276" s="12">
        <v>40592</v>
      </c>
      <c r="B276" s="13">
        <v>0.45833333333333331</v>
      </c>
      <c r="C276" s="14">
        <v>40592.458349131943</v>
      </c>
      <c r="D276" s="6">
        <v>7.1</v>
      </c>
      <c r="E276" s="6">
        <v>16.010000000000002</v>
      </c>
      <c r="F276" s="6">
        <v>23.76</v>
      </c>
      <c r="G276" s="6">
        <v>1.18</v>
      </c>
      <c r="L276" s="14"/>
    </row>
    <row r="277" spans="1:12" ht="14" x14ac:dyDescent="0.3">
      <c r="A277" s="12">
        <v>40592</v>
      </c>
      <c r="B277" s="13">
        <v>0.5</v>
      </c>
      <c r="C277" s="14">
        <v>40592.50001585648</v>
      </c>
      <c r="D277" s="6">
        <v>7.3</v>
      </c>
      <c r="E277" s="6">
        <v>18.18</v>
      </c>
      <c r="F277" s="6">
        <v>24.64</v>
      </c>
      <c r="G277" s="6">
        <v>1.1200000000000001</v>
      </c>
      <c r="L277" s="14"/>
    </row>
    <row r="278" spans="1:12" ht="14" x14ac:dyDescent="0.3">
      <c r="A278" s="12">
        <v>40592</v>
      </c>
      <c r="B278" s="13">
        <v>0.54166666666666663</v>
      </c>
      <c r="C278" s="14">
        <v>40592.541682581017</v>
      </c>
      <c r="D278" s="6">
        <v>9.61</v>
      </c>
      <c r="E278" s="6">
        <v>22.54</v>
      </c>
      <c r="F278" s="6">
        <v>25.7</v>
      </c>
      <c r="G278" s="6">
        <v>1.55</v>
      </c>
      <c r="L278" s="14"/>
    </row>
    <row r="279" spans="1:12" ht="14" x14ac:dyDescent="0.3">
      <c r="A279" s="12">
        <v>40592</v>
      </c>
      <c r="B279" s="13">
        <v>0.58333333333333337</v>
      </c>
      <c r="C279" s="14">
        <v>40592.583349305554</v>
      </c>
      <c r="D279" s="6">
        <v>8.84</v>
      </c>
      <c r="E279" s="6">
        <v>27.22</v>
      </c>
      <c r="F279" s="6">
        <v>25.77</v>
      </c>
      <c r="G279" s="6">
        <v>1.55</v>
      </c>
      <c r="L279" s="14"/>
    </row>
    <row r="280" spans="1:12" ht="14" x14ac:dyDescent="0.3">
      <c r="A280" s="12">
        <v>40592</v>
      </c>
      <c r="B280" s="13">
        <v>0.625</v>
      </c>
      <c r="C280" s="14">
        <v>40592.625016030092</v>
      </c>
      <c r="D280" s="6">
        <v>6.39</v>
      </c>
      <c r="E280" s="6">
        <v>32.299999999999997</v>
      </c>
      <c r="F280" s="6">
        <v>26.64</v>
      </c>
      <c r="G280" s="6">
        <v>2.17</v>
      </c>
      <c r="L280" s="14"/>
    </row>
    <row r="281" spans="1:12" ht="14" x14ac:dyDescent="0.3">
      <c r="A281" s="12">
        <v>40592</v>
      </c>
      <c r="B281" s="13">
        <v>0.66666666666666663</v>
      </c>
      <c r="C281" s="14">
        <v>40592.666682754629</v>
      </c>
      <c r="D281" s="6">
        <v>6.93</v>
      </c>
      <c r="E281" s="6">
        <v>32.770000000000003</v>
      </c>
      <c r="F281" s="6">
        <v>27.2</v>
      </c>
      <c r="G281" s="6">
        <v>2.2799999999999998</v>
      </c>
      <c r="L281" s="14"/>
    </row>
    <row r="282" spans="1:12" ht="14" x14ac:dyDescent="0.3">
      <c r="A282" s="12">
        <v>40592</v>
      </c>
      <c r="B282" s="13">
        <v>0.70833333333333337</v>
      </c>
      <c r="C282" s="14">
        <v>40592.708349479166</v>
      </c>
      <c r="D282" s="6">
        <v>8.86</v>
      </c>
      <c r="E282" s="6">
        <v>27.84</v>
      </c>
      <c r="F282" s="6">
        <v>26.27</v>
      </c>
      <c r="G282" s="6">
        <v>2.84</v>
      </c>
      <c r="L282" s="14"/>
    </row>
    <row r="283" spans="1:12" ht="14" x14ac:dyDescent="0.3">
      <c r="A283" s="12">
        <v>40592</v>
      </c>
      <c r="B283" s="13">
        <v>0.75</v>
      </c>
      <c r="C283" s="14">
        <v>40592.750016203703</v>
      </c>
      <c r="D283" s="6">
        <v>10.9</v>
      </c>
      <c r="E283" s="6">
        <v>21.28</v>
      </c>
      <c r="F283" s="6">
        <v>25.24</v>
      </c>
      <c r="G283" s="6">
        <v>2.87</v>
      </c>
      <c r="L283" s="14"/>
    </row>
    <row r="284" spans="1:12" ht="14" x14ac:dyDescent="0.3">
      <c r="A284" s="12">
        <v>40592</v>
      </c>
      <c r="B284" s="13">
        <v>0.79166666666666663</v>
      </c>
      <c r="C284" s="14">
        <v>40592.79168292824</v>
      </c>
      <c r="D284" s="6">
        <v>10.94</v>
      </c>
      <c r="E284" s="6">
        <v>17.100000000000001</v>
      </c>
      <c r="F284" s="6">
        <v>24.23</v>
      </c>
      <c r="G284" s="6">
        <v>2.57</v>
      </c>
      <c r="L284" s="14"/>
    </row>
    <row r="285" spans="1:12" ht="14" x14ac:dyDescent="0.3">
      <c r="A285" s="12">
        <v>40592</v>
      </c>
      <c r="B285" s="13">
        <v>0.83333333333333337</v>
      </c>
      <c r="C285" s="14">
        <v>40592.833349652778</v>
      </c>
      <c r="D285" s="6">
        <v>10.45</v>
      </c>
      <c r="E285" s="6">
        <v>15.31</v>
      </c>
      <c r="F285" s="6">
        <v>23.8</v>
      </c>
      <c r="G285" s="6">
        <v>2.52</v>
      </c>
      <c r="L285" s="14"/>
    </row>
    <row r="286" spans="1:12" ht="14" x14ac:dyDescent="0.3">
      <c r="A286" s="12">
        <v>40592</v>
      </c>
      <c r="B286" s="13">
        <v>0.875</v>
      </c>
      <c r="C286" s="14">
        <v>40592.875016377315</v>
      </c>
      <c r="D286" s="6">
        <v>10.51</v>
      </c>
      <c r="E286" s="6">
        <v>13.72</v>
      </c>
      <c r="F286" s="6">
        <v>23.65</v>
      </c>
      <c r="G286" s="6">
        <v>1.7</v>
      </c>
      <c r="L286" s="14"/>
    </row>
    <row r="287" spans="1:12" ht="14" x14ac:dyDescent="0.3">
      <c r="A287" s="12">
        <v>40592</v>
      </c>
      <c r="B287" s="13">
        <v>0.91666666666666663</v>
      </c>
      <c r="C287" s="14">
        <v>40592.916683101852</v>
      </c>
      <c r="D287" s="6">
        <v>6.43</v>
      </c>
      <c r="E287" s="6">
        <v>18.579999999999998</v>
      </c>
      <c r="F287" s="6">
        <v>23.53</v>
      </c>
      <c r="G287" s="6">
        <v>1.27</v>
      </c>
      <c r="L287" s="14"/>
    </row>
    <row r="288" spans="1:12" ht="14" x14ac:dyDescent="0.3">
      <c r="A288" s="12">
        <v>40592</v>
      </c>
      <c r="B288" s="13">
        <v>0.95833333333333337</v>
      </c>
      <c r="C288" s="14">
        <v>40592.958349826389</v>
      </c>
      <c r="D288" s="6">
        <v>7.45</v>
      </c>
      <c r="E288" s="6">
        <v>15.54</v>
      </c>
      <c r="F288" s="6">
        <v>23.28</v>
      </c>
      <c r="G288" s="6">
        <v>0.59</v>
      </c>
      <c r="L288" s="14"/>
    </row>
    <row r="289" spans="1:12" ht="14.5" x14ac:dyDescent="0.35">
      <c r="A289" s="12">
        <v>40593</v>
      </c>
      <c r="B289" s="19" t="s">
        <v>29</v>
      </c>
      <c r="C289" s="14">
        <v>40593.000016550926</v>
      </c>
      <c r="D289" s="6">
        <v>6.96</v>
      </c>
      <c r="E289" s="6">
        <v>14.14</v>
      </c>
      <c r="F289" s="6">
        <v>23.18</v>
      </c>
      <c r="G289" s="6">
        <v>0.35</v>
      </c>
      <c r="L289" s="14"/>
    </row>
    <row r="290" spans="1:12" ht="14" x14ac:dyDescent="0.3">
      <c r="A290" s="12">
        <v>40593</v>
      </c>
      <c r="B290" s="13">
        <v>4.1666666666666664E-2</v>
      </c>
      <c r="C290" s="14">
        <v>40593.041683275464</v>
      </c>
      <c r="D290" s="6">
        <v>5.07</v>
      </c>
      <c r="E290" s="6">
        <v>13.95</v>
      </c>
      <c r="F290" s="6">
        <v>22.94</v>
      </c>
      <c r="G290" s="6">
        <v>0.15</v>
      </c>
      <c r="L290" s="14"/>
    </row>
    <row r="291" spans="1:12" ht="14" x14ac:dyDescent="0.3">
      <c r="A291" s="12">
        <v>40593</v>
      </c>
      <c r="B291" s="13">
        <v>8.3333333333333329E-2</v>
      </c>
      <c r="C291" s="14">
        <v>40593.083350000001</v>
      </c>
      <c r="D291" s="6">
        <v>5.98</v>
      </c>
      <c r="E291" s="6">
        <v>10.08</v>
      </c>
      <c r="F291" s="6">
        <v>22.66</v>
      </c>
      <c r="G291" s="6">
        <v>0.08</v>
      </c>
      <c r="L291" s="14"/>
    </row>
    <row r="292" spans="1:12" ht="14" x14ac:dyDescent="0.3">
      <c r="A292" s="12">
        <v>40593</v>
      </c>
      <c r="B292" s="13">
        <v>0.125</v>
      </c>
      <c r="C292" s="14">
        <v>40593.125016724538</v>
      </c>
      <c r="D292" s="6">
        <v>10.34</v>
      </c>
      <c r="E292" s="6">
        <v>3.69</v>
      </c>
      <c r="F292" s="6">
        <v>22.18</v>
      </c>
      <c r="G292" s="6">
        <v>0.27</v>
      </c>
      <c r="L292" s="14"/>
    </row>
    <row r="293" spans="1:12" ht="14" x14ac:dyDescent="0.3">
      <c r="A293" s="12">
        <v>40593</v>
      </c>
      <c r="B293" s="13">
        <v>0.16666666666666666</v>
      </c>
      <c r="C293" s="14">
        <v>40593.166683449075</v>
      </c>
      <c r="D293" s="6">
        <v>12.77</v>
      </c>
      <c r="E293" s="6">
        <v>0.42</v>
      </c>
      <c r="F293" s="6">
        <v>21.32</v>
      </c>
      <c r="G293" s="6">
        <v>0.21</v>
      </c>
      <c r="L293" s="14"/>
    </row>
    <row r="294" spans="1:12" ht="14" x14ac:dyDescent="0.3">
      <c r="A294" s="12">
        <v>40593</v>
      </c>
      <c r="B294" s="13">
        <v>0.20833333333333334</v>
      </c>
      <c r="C294" s="14">
        <v>40593.208350173612</v>
      </c>
      <c r="D294" s="6">
        <v>15.53</v>
      </c>
      <c r="E294" s="6">
        <v>0.12</v>
      </c>
      <c r="F294" s="6">
        <v>20.82</v>
      </c>
      <c r="G294" s="6">
        <v>0.23</v>
      </c>
      <c r="L294" s="14"/>
    </row>
    <row r="295" spans="1:12" ht="14" x14ac:dyDescent="0.3">
      <c r="A295" s="12">
        <v>40593</v>
      </c>
      <c r="B295" s="13">
        <v>0.25</v>
      </c>
      <c r="C295" s="14">
        <v>40593.25001689815</v>
      </c>
      <c r="D295" s="6">
        <v>23.78</v>
      </c>
      <c r="E295" s="6">
        <v>0.14000000000000001</v>
      </c>
      <c r="F295" s="6">
        <v>20.55</v>
      </c>
      <c r="G295" s="6">
        <v>0.21</v>
      </c>
      <c r="L295" s="14"/>
    </row>
    <row r="296" spans="1:12" ht="14" x14ac:dyDescent="0.3">
      <c r="A296" s="12">
        <v>40593</v>
      </c>
      <c r="B296" s="13">
        <v>0.29166666666666669</v>
      </c>
      <c r="C296" s="14">
        <v>40593.291683622687</v>
      </c>
      <c r="D296" s="6">
        <v>40.06</v>
      </c>
      <c r="E296" s="6">
        <v>0.7</v>
      </c>
      <c r="F296" s="6">
        <v>21.87</v>
      </c>
      <c r="G296" s="6">
        <v>0.75</v>
      </c>
      <c r="L296" s="14"/>
    </row>
    <row r="297" spans="1:12" ht="14" x14ac:dyDescent="0.3">
      <c r="A297" s="12">
        <v>40593</v>
      </c>
      <c r="B297" s="13">
        <v>0.33333333333333331</v>
      </c>
      <c r="C297" s="14">
        <v>40593.333350347224</v>
      </c>
      <c r="D297" s="6">
        <v>10.7</v>
      </c>
      <c r="E297" s="6">
        <v>5.68</v>
      </c>
      <c r="F297" s="6">
        <v>24.42</v>
      </c>
      <c r="G297" s="6">
        <v>1.51</v>
      </c>
      <c r="L297" s="14"/>
    </row>
    <row r="298" spans="1:12" ht="14" x14ac:dyDescent="0.3">
      <c r="A298" s="12">
        <v>40593</v>
      </c>
      <c r="B298" s="13">
        <v>0.375</v>
      </c>
      <c r="C298" s="14">
        <v>40593.375017071761</v>
      </c>
      <c r="D298" s="6">
        <v>4.5</v>
      </c>
      <c r="E298" s="6">
        <v>13.11</v>
      </c>
      <c r="F298" s="6">
        <v>26.21</v>
      </c>
      <c r="G298" s="6">
        <v>2.09</v>
      </c>
      <c r="L298" s="14"/>
    </row>
    <row r="299" spans="1:12" ht="14" x14ac:dyDescent="0.3">
      <c r="A299" s="12">
        <v>40593</v>
      </c>
      <c r="B299" s="13">
        <v>0.41666666666666669</v>
      </c>
      <c r="C299" s="14">
        <v>40593.416683796298</v>
      </c>
      <c r="D299" s="6">
        <v>2.99</v>
      </c>
      <c r="E299" s="6">
        <v>20.09</v>
      </c>
      <c r="F299" s="6">
        <v>27.6</v>
      </c>
      <c r="G299" s="6">
        <v>2.54</v>
      </c>
      <c r="L299" s="14"/>
    </row>
    <row r="300" spans="1:12" ht="14" x14ac:dyDescent="0.3">
      <c r="A300" s="12">
        <v>40593</v>
      </c>
      <c r="B300" s="13">
        <v>0.45833333333333331</v>
      </c>
      <c r="C300" s="14">
        <v>40593.458350520836</v>
      </c>
      <c r="D300" s="6">
        <v>2.95</v>
      </c>
      <c r="E300" s="6">
        <v>24.97</v>
      </c>
      <c r="F300" s="6">
        <v>28.99</v>
      </c>
      <c r="G300" s="6">
        <v>1.81</v>
      </c>
      <c r="L300" s="14"/>
    </row>
    <row r="301" spans="1:12" ht="14" x14ac:dyDescent="0.3">
      <c r="A301" s="12">
        <v>40593</v>
      </c>
      <c r="B301" s="13">
        <v>0.5</v>
      </c>
      <c r="C301" s="14">
        <v>40593.500017245373</v>
      </c>
      <c r="D301" s="6">
        <v>3.4</v>
      </c>
      <c r="E301" s="6">
        <v>25.68</v>
      </c>
      <c r="F301" s="6">
        <v>30.73</v>
      </c>
      <c r="G301" s="6">
        <v>2.46</v>
      </c>
      <c r="L301" s="14"/>
    </row>
    <row r="302" spans="1:12" ht="14" x14ac:dyDescent="0.3">
      <c r="A302" s="12">
        <v>40593</v>
      </c>
      <c r="B302" s="13">
        <v>0.54166666666666663</v>
      </c>
      <c r="C302" s="14">
        <v>40593.54168396991</v>
      </c>
      <c r="D302" s="6">
        <v>3.01</v>
      </c>
      <c r="E302" s="6">
        <v>26.87</v>
      </c>
      <c r="F302" s="6">
        <v>33.58</v>
      </c>
      <c r="G302" s="6">
        <v>3.5</v>
      </c>
      <c r="L302" s="14"/>
    </row>
    <row r="303" spans="1:12" ht="14" x14ac:dyDescent="0.3">
      <c r="A303" s="12">
        <v>40593</v>
      </c>
      <c r="B303" s="13">
        <v>0.58333333333333337</v>
      </c>
      <c r="C303" s="14">
        <v>40593.583350694447</v>
      </c>
      <c r="D303" s="6">
        <v>3.19</v>
      </c>
      <c r="E303" s="6">
        <v>28.48</v>
      </c>
      <c r="F303" s="6">
        <v>35.229999999999997</v>
      </c>
      <c r="G303" s="6">
        <v>3.67</v>
      </c>
      <c r="L303" s="14"/>
    </row>
    <row r="304" spans="1:12" ht="14" x14ac:dyDescent="0.3">
      <c r="A304" s="12">
        <v>40593</v>
      </c>
      <c r="B304" s="13">
        <v>0.625</v>
      </c>
      <c r="C304" s="14">
        <v>40593.625017418984</v>
      </c>
      <c r="D304" s="6">
        <v>2.87</v>
      </c>
      <c r="E304" s="6">
        <v>34.9</v>
      </c>
      <c r="F304" s="6">
        <v>36.479999999999997</v>
      </c>
      <c r="G304" s="6">
        <v>3.88</v>
      </c>
      <c r="L304" s="14"/>
    </row>
    <row r="305" spans="1:12" ht="14" x14ac:dyDescent="0.3">
      <c r="A305" s="12">
        <v>40593</v>
      </c>
      <c r="B305" s="13">
        <v>0.66666666666666663</v>
      </c>
      <c r="C305" s="14">
        <v>40593.666684143522</v>
      </c>
      <c r="D305" s="6">
        <v>3.28</v>
      </c>
      <c r="E305" s="6">
        <v>34.43</v>
      </c>
      <c r="F305" s="6">
        <v>36.89</v>
      </c>
      <c r="G305" s="6">
        <v>3.54</v>
      </c>
      <c r="L305" s="14"/>
    </row>
    <row r="306" spans="1:12" ht="14" x14ac:dyDescent="0.3">
      <c r="A306" s="12">
        <v>40593</v>
      </c>
      <c r="B306" s="13">
        <v>0.70833333333333337</v>
      </c>
      <c r="C306" s="14">
        <v>40593.708350868059</v>
      </c>
      <c r="D306" s="6">
        <v>3.91</v>
      </c>
      <c r="E306" s="6">
        <v>35.590000000000003</v>
      </c>
      <c r="F306" s="6">
        <v>36.880000000000003</v>
      </c>
      <c r="G306" s="6">
        <v>2.0699999999999998</v>
      </c>
      <c r="L306" s="14"/>
    </row>
    <row r="307" spans="1:12" ht="14" x14ac:dyDescent="0.3">
      <c r="A307" s="12">
        <v>40593</v>
      </c>
      <c r="B307" s="13">
        <v>0.75</v>
      </c>
      <c r="C307" s="14">
        <v>40593.750017592596</v>
      </c>
      <c r="D307" s="6">
        <v>6.05</v>
      </c>
      <c r="E307" s="6">
        <v>33.83</v>
      </c>
      <c r="F307" s="6">
        <v>36.14</v>
      </c>
      <c r="G307" s="6">
        <v>2.17</v>
      </c>
      <c r="L307" s="14"/>
    </row>
    <row r="308" spans="1:12" ht="14" x14ac:dyDescent="0.3">
      <c r="A308" s="12">
        <v>40593</v>
      </c>
      <c r="B308" s="13">
        <v>0.79166666666666663</v>
      </c>
      <c r="C308" s="14">
        <v>40593.791684317126</v>
      </c>
      <c r="D308" s="6">
        <v>7.29</v>
      </c>
      <c r="E308" s="6">
        <v>28.09</v>
      </c>
      <c r="F308" s="6">
        <v>35.21</v>
      </c>
      <c r="G308" s="6">
        <v>1.65</v>
      </c>
      <c r="L308" s="14"/>
    </row>
    <row r="309" spans="1:12" ht="14" x14ac:dyDescent="0.3">
      <c r="A309" s="12">
        <v>40593</v>
      </c>
      <c r="B309" s="13">
        <v>0.83333333333333337</v>
      </c>
      <c r="C309" s="14">
        <v>40593.833351041663</v>
      </c>
      <c r="D309" s="6">
        <v>12.45</v>
      </c>
      <c r="E309" s="6">
        <v>18.09</v>
      </c>
      <c r="F309" s="6">
        <v>32.39</v>
      </c>
      <c r="G309" s="6">
        <v>0.28000000000000003</v>
      </c>
      <c r="L309" s="14"/>
    </row>
    <row r="310" spans="1:12" ht="14" x14ac:dyDescent="0.3">
      <c r="A310" s="12">
        <v>40593</v>
      </c>
      <c r="B310" s="13">
        <v>0.875</v>
      </c>
      <c r="C310" s="14">
        <v>40593.8750177662</v>
      </c>
      <c r="D310" s="6">
        <v>22.98</v>
      </c>
      <c r="E310" s="6">
        <v>6.39</v>
      </c>
      <c r="F310" s="6">
        <v>30.68</v>
      </c>
      <c r="G310" s="6">
        <v>0.85</v>
      </c>
      <c r="L310" s="14"/>
    </row>
    <row r="311" spans="1:12" ht="14" x14ac:dyDescent="0.3">
      <c r="A311" s="12">
        <v>40593</v>
      </c>
      <c r="B311" s="13">
        <v>0.91666666666666663</v>
      </c>
      <c r="C311" s="14">
        <v>40593.916684490738</v>
      </c>
      <c r="D311" s="6">
        <v>14.97</v>
      </c>
      <c r="E311" s="6">
        <v>11.47</v>
      </c>
      <c r="F311" s="6">
        <v>29.34</v>
      </c>
      <c r="G311" s="6">
        <v>0.09</v>
      </c>
      <c r="L311" s="14"/>
    </row>
    <row r="312" spans="1:12" ht="14" x14ac:dyDescent="0.3">
      <c r="A312" s="12">
        <v>40593</v>
      </c>
      <c r="B312" s="13">
        <v>0.95833333333333337</v>
      </c>
      <c r="C312" s="14">
        <v>40593.958351215275</v>
      </c>
      <c r="D312" s="6">
        <v>27.79</v>
      </c>
      <c r="E312" s="6">
        <v>4.3899999999999997</v>
      </c>
      <c r="F312" s="6">
        <v>28.14</v>
      </c>
      <c r="G312" s="6">
        <v>0.43</v>
      </c>
      <c r="L312" s="14"/>
    </row>
    <row r="313" spans="1:12" ht="14.5" x14ac:dyDescent="0.35">
      <c r="A313" s="12">
        <v>40594</v>
      </c>
      <c r="B313" s="19" t="s">
        <v>29</v>
      </c>
      <c r="C313" s="14">
        <v>40594.000017939812</v>
      </c>
      <c r="D313" s="6">
        <v>26.75</v>
      </c>
      <c r="E313" s="6">
        <v>0.71</v>
      </c>
      <c r="F313" s="6">
        <v>27.79</v>
      </c>
      <c r="G313" s="6">
        <v>0.14000000000000001</v>
      </c>
      <c r="L313" s="14"/>
    </row>
    <row r="314" spans="1:12" ht="14" x14ac:dyDescent="0.3">
      <c r="A314" s="12">
        <v>40594</v>
      </c>
      <c r="B314" s="13">
        <v>4.1666666666666664E-2</v>
      </c>
      <c r="C314" s="14">
        <v>40594.041684664349</v>
      </c>
      <c r="D314" s="6">
        <v>19.510000000000002</v>
      </c>
      <c r="E314" s="6">
        <v>1.1100000000000001</v>
      </c>
      <c r="F314" s="6">
        <v>27.38</v>
      </c>
      <c r="G314" s="6">
        <v>0.16</v>
      </c>
      <c r="L314" s="14"/>
    </row>
    <row r="315" spans="1:12" ht="14" x14ac:dyDescent="0.3">
      <c r="A315" s="12">
        <v>40594</v>
      </c>
      <c r="B315" s="13">
        <v>8.3333333333333329E-2</v>
      </c>
      <c r="C315" s="14">
        <v>40594.083351388887</v>
      </c>
      <c r="D315" s="6">
        <v>18.43</v>
      </c>
      <c r="E315" s="6">
        <v>0.89</v>
      </c>
      <c r="F315" s="6">
        <v>27.19</v>
      </c>
      <c r="G315" s="6">
        <v>0.16</v>
      </c>
      <c r="L315" s="14"/>
    </row>
    <row r="316" spans="1:12" ht="14" x14ac:dyDescent="0.3">
      <c r="A316" s="12">
        <v>40594</v>
      </c>
      <c r="B316" s="13">
        <v>0.125</v>
      </c>
      <c r="C316" s="14">
        <v>40594.125018113424</v>
      </c>
      <c r="D316" s="6">
        <v>13.63</v>
      </c>
      <c r="E316" s="6">
        <v>2.83</v>
      </c>
      <c r="F316" s="6">
        <v>26.92</v>
      </c>
      <c r="G316" s="6">
        <v>0.39</v>
      </c>
      <c r="L316" s="14"/>
    </row>
    <row r="317" spans="1:12" ht="14" x14ac:dyDescent="0.3">
      <c r="A317" s="12">
        <v>40594</v>
      </c>
      <c r="B317" s="13">
        <v>0.16666666666666666</v>
      </c>
      <c r="C317" s="14">
        <v>40594.166684837961</v>
      </c>
      <c r="D317" s="6">
        <v>15.06</v>
      </c>
      <c r="E317" s="6">
        <v>1.0900000000000001</v>
      </c>
      <c r="F317" s="6">
        <v>26.21</v>
      </c>
      <c r="G317" s="6">
        <v>0.34</v>
      </c>
      <c r="L317" s="14"/>
    </row>
    <row r="318" spans="1:12" ht="14" x14ac:dyDescent="0.3">
      <c r="A318" s="12">
        <v>40594</v>
      </c>
      <c r="B318" s="13">
        <v>0.20833333333333334</v>
      </c>
      <c r="C318" s="14">
        <v>40594.208351562498</v>
      </c>
      <c r="D318" s="6">
        <v>12.61</v>
      </c>
      <c r="E318" s="6">
        <v>2.87</v>
      </c>
      <c r="F318" s="6">
        <v>26.18</v>
      </c>
      <c r="G318" s="6">
        <v>0.19</v>
      </c>
      <c r="L318" s="14"/>
    </row>
    <row r="319" spans="1:12" ht="14" x14ac:dyDescent="0.3">
      <c r="A319" s="12">
        <v>40594</v>
      </c>
      <c r="B319" s="13">
        <v>0.25</v>
      </c>
      <c r="C319" s="14">
        <v>40594.250018287035</v>
      </c>
      <c r="D319" s="6">
        <v>11.79</v>
      </c>
      <c r="E319" s="6">
        <v>3.47</v>
      </c>
      <c r="F319" s="6">
        <v>25.58</v>
      </c>
      <c r="G319" s="6">
        <v>0.32</v>
      </c>
      <c r="L319" s="14"/>
    </row>
    <row r="320" spans="1:12" ht="14" x14ac:dyDescent="0.3">
      <c r="A320" s="12">
        <v>40594</v>
      </c>
      <c r="B320" s="13">
        <v>0.29166666666666669</v>
      </c>
      <c r="C320" s="14">
        <v>40594.291685011573</v>
      </c>
      <c r="D320" s="6">
        <v>20.57</v>
      </c>
      <c r="E320" s="6">
        <v>3.68</v>
      </c>
      <c r="F320" s="6">
        <v>26.82</v>
      </c>
      <c r="G320" s="6">
        <v>0.43</v>
      </c>
      <c r="L320" s="14"/>
    </row>
    <row r="321" spans="1:12" ht="14" x14ac:dyDescent="0.3">
      <c r="A321" s="12">
        <v>40594</v>
      </c>
      <c r="B321" s="13">
        <v>0.33333333333333331</v>
      </c>
      <c r="C321" s="14">
        <v>40594.33335173611</v>
      </c>
      <c r="D321" s="6">
        <v>5.23</v>
      </c>
      <c r="E321" s="6">
        <v>18.61</v>
      </c>
      <c r="F321" s="6">
        <v>30.29</v>
      </c>
      <c r="G321" s="6">
        <v>1.87</v>
      </c>
      <c r="L321" s="14"/>
    </row>
    <row r="322" spans="1:12" ht="14" x14ac:dyDescent="0.3">
      <c r="A322" s="12">
        <v>40594</v>
      </c>
      <c r="B322" s="13">
        <v>0.375</v>
      </c>
      <c r="C322" s="14">
        <v>40594.375018460647</v>
      </c>
      <c r="D322" s="6">
        <v>3</v>
      </c>
      <c r="E322" s="6">
        <v>26.58</v>
      </c>
      <c r="F322" s="6">
        <v>32.19</v>
      </c>
      <c r="G322" s="6">
        <v>2.4500000000000002</v>
      </c>
      <c r="L322" s="14"/>
    </row>
    <row r="323" spans="1:12" ht="14" x14ac:dyDescent="0.3">
      <c r="A323" s="12">
        <v>40594</v>
      </c>
      <c r="B323" s="13">
        <v>0.41666666666666669</v>
      </c>
      <c r="C323" s="14">
        <v>40594.416685185184</v>
      </c>
      <c r="D323" s="6">
        <v>1.44</v>
      </c>
      <c r="E323" s="6">
        <v>31.46</v>
      </c>
      <c r="F323" s="6">
        <v>33.369999999999997</v>
      </c>
      <c r="G323" s="6">
        <v>1.49</v>
      </c>
      <c r="L323" s="14"/>
    </row>
    <row r="324" spans="1:12" ht="14" x14ac:dyDescent="0.3">
      <c r="A324" s="12">
        <v>40594</v>
      </c>
      <c r="B324" s="13">
        <v>0.45833333333333331</v>
      </c>
      <c r="C324" s="14">
        <v>40594.458351909721</v>
      </c>
      <c r="D324" s="6">
        <v>1.0900000000000001</v>
      </c>
      <c r="E324" s="6">
        <v>29.84</v>
      </c>
      <c r="F324" s="6">
        <v>33.79</v>
      </c>
      <c r="G324" s="6">
        <v>1.74</v>
      </c>
      <c r="L324" s="14"/>
    </row>
    <row r="325" spans="1:12" ht="14" x14ac:dyDescent="0.3">
      <c r="A325" s="12">
        <v>40594</v>
      </c>
      <c r="B325" s="13">
        <v>0.5</v>
      </c>
      <c r="C325" s="14">
        <v>40594.500018634259</v>
      </c>
      <c r="D325" s="6">
        <v>1.07</v>
      </c>
      <c r="E325" s="6">
        <v>32.380000000000003</v>
      </c>
      <c r="F325" s="6">
        <v>35.25</v>
      </c>
      <c r="G325" s="6">
        <v>1.32</v>
      </c>
      <c r="L325" s="14"/>
    </row>
    <row r="326" spans="1:12" ht="14" x14ac:dyDescent="0.3">
      <c r="A326" s="12">
        <v>40594</v>
      </c>
      <c r="B326" s="13">
        <v>0.54166666666666663</v>
      </c>
      <c r="C326" s="14">
        <v>40594.541685358796</v>
      </c>
      <c r="D326" s="6">
        <v>8.0299999999999994</v>
      </c>
      <c r="E326" s="6">
        <v>44.13</v>
      </c>
      <c r="F326" s="6">
        <v>32.17</v>
      </c>
      <c r="G326" s="6">
        <v>2.4300000000000002</v>
      </c>
      <c r="L326" s="14"/>
    </row>
    <row r="327" spans="1:12" ht="14" x14ac:dyDescent="0.3">
      <c r="A327" s="12">
        <v>40594</v>
      </c>
      <c r="B327" s="13">
        <v>0.58333333333333337</v>
      </c>
      <c r="C327" s="14">
        <v>40594.583352083333</v>
      </c>
      <c r="D327" s="6">
        <v>8.1</v>
      </c>
      <c r="E327" s="6">
        <v>49.17</v>
      </c>
      <c r="F327" s="6">
        <v>31.19</v>
      </c>
      <c r="G327" s="6">
        <v>2.5</v>
      </c>
      <c r="L327" s="14"/>
    </row>
    <row r="328" spans="1:12" ht="14" x14ac:dyDescent="0.3">
      <c r="A328" s="12">
        <v>40594</v>
      </c>
      <c r="B328" s="13">
        <v>0.625</v>
      </c>
      <c r="C328" s="14">
        <v>40594.62501880787</v>
      </c>
      <c r="D328" s="6">
        <v>7.84</v>
      </c>
      <c r="E328" s="6">
        <v>53.98</v>
      </c>
      <c r="F328" s="6">
        <v>31.57</v>
      </c>
      <c r="G328" s="6">
        <v>2.77</v>
      </c>
      <c r="L328" s="14"/>
    </row>
    <row r="329" spans="1:12" ht="14" x14ac:dyDescent="0.3">
      <c r="A329" s="12">
        <v>40594</v>
      </c>
      <c r="B329" s="13">
        <v>0.66666666666666663</v>
      </c>
      <c r="C329" s="14">
        <v>40594.666685532407</v>
      </c>
      <c r="D329" s="6">
        <v>7.53</v>
      </c>
      <c r="E329" s="6">
        <v>60.16</v>
      </c>
      <c r="F329" s="6">
        <v>31.98</v>
      </c>
      <c r="G329" s="6">
        <v>1.83</v>
      </c>
      <c r="L329" s="14"/>
    </row>
    <row r="330" spans="1:12" ht="14" x14ac:dyDescent="0.3">
      <c r="A330" s="12">
        <v>40594</v>
      </c>
      <c r="B330" s="13">
        <v>0.70833333333333337</v>
      </c>
      <c r="C330" s="14">
        <v>40594.708352256945</v>
      </c>
      <c r="D330" s="6">
        <v>8.18</v>
      </c>
      <c r="E330" s="6">
        <v>60.71</v>
      </c>
      <c r="F330" s="6">
        <v>31.64</v>
      </c>
      <c r="G330" s="6">
        <v>2.12</v>
      </c>
      <c r="L330" s="14"/>
    </row>
    <row r="331" spans="1:12" ht="14" x14ac:dyDescent="0.3">
      <c r="A331" s="12">
        <v>40594</v>
      </c>
      <c r="B331" s="13">
        <v>0.75</v>
      </c>
      <c r="C331" s="14">
        <v>40594.750018981482</v>
      </c>
      <c r="D331" s="6">
        <v>5.99</v>
      </c>
      <c r="E331" s="6">
        <v>45.4</v>
      </c>
      <c r="F331" s="6">
        <v>29.62</v>
      </c>
      <c r="G331" s="6">
        <v>2.08</v>
      </c>
      <c r="L331" s="14"/>
    </row>
    <row r="332" spans="1:12" ht="14" x14ac:dyDescent="0.3">
      <c r="A332" s="12">
        <v>40594</v>
      </c>
      <c r="B332" s="13">
        <v>0.79166666666666663</v>
      </c>
      <c r="C332" s="14">
        <v>40594.791685706019</v>
      </c>
      <c r="D332" s="6">
        <v>4.63</v>
      </c>
      <c r="E332" s="6">
        <v>38.5</v>
      </c>
      <c r="F332" s="6">
        <v>28.35</v>
      </c>
      <c r="G332" s="6">
        <v>1.02</v>
      </c>
      <c r="L332" s="14"/>
    </row>
    <row r="333" spans="1:12" ht="14" x14ac:dyDescent="0.3">
      <c r="A333" s="12">
        <v>40594</v>
      </c>
      <c r="B333" s="13">
        <v>0.83333333333333337</v>
      </c>
      <c r="C333" s="14">
        <v>40594.833352430556</v>
      </c>
      <c r="D333" s="6">
        <v>8.65</v>
      </c>
      <c r="E333" s="6">
        <v>29.92</v>
      </c>
      <c r="F333" s="6">
        <v>27.3</v>
      </c>
      <c r="G333" s="6">
        <v>1.2</v>
      </c>
      <c r="L333" s="14"/>
    </row>
    <row r="334" spans="1:12" ht="14" x14ac:dyDescent="0.3">
      <c r="A334" s="12">
        <v>40594</v>
      </c>
      <c r="B334" s="13">
        <v>0.875</v>
      </c>
      <c r="C334" s="14">
        <v>40594.875019155093</v>
      </c>
      <c r="D334" s="6">
        <v>12.28</v>
      </c>
      <c r="E334" s="6">
        <v>20.07</v>
      </c>
      <c r="F334" s="6">
        <v>25.83</v>
      </c>
      <c r="G334" s="6">
        <v>0.32</v>
      </c>
      <c r="L334" s="14"/>
    </row>
    <row r="335" spans="1:12" ht="14" x14ac:dyDescent="0.3">
      <c r="A335" s="12">
        <v>40594</v>
      </c>
      <c r="B335" s="13">
        <v>0.91666666666666663</v>
      </c>
      <c r="C335" s="14">
        <v>40594.916685879631</v>
      </c>
      <c r="D335" s="6">
        <v>20.190000000000001</v>
      </c>
      <c r="E335" s="6">
        <v>8.41</v>
      </c>
      <c r="F335" s="6">
        <v>24.4</v>
      </c>
      <c r="G335" s="6">
        <v>0.11</v>
      </c>
      <c r="L335" s="14"/>
    </row>
    <row r="336" spans="1:12" ht="14" x14ac:dyDescent="0.3">
      <c r="A336" s="12">
        <v>40594</v>
      </c>
      <c r="B336" s="13">
        <v>0.95833333333333337</v>
      </c>
      <c r="C336" s="14">
        <v>40594.958352604168</v>
      </c>
      <c r="D336" s="6">
        <v>11.52</v>
      </c>
      <c r="E336" s="6">
        <v>13.92</v>
      </c>
      <c r="F336" s="6">
        <v>24.45</v>
      </c>
      <c r="G336" s="6">
        <v>0.37</v>
      </c>
      <c r="L336" s="14"/>
    </row>
    <row r="337" spans="1:12" ht="14.5" x14ac:dyDescent="0.35">
      <c r="A337" s="12">
        <v>40595</v>
      </c>
      <c r="B337" s="19" t="s">
        <v>29</v>
      </c>
      <c r="C337" s="14">
        <v>40595.000019328705</v>
      </c>
      <c r="D337" s="6">
        <v>11.17</v>
      </c>
      <c r="E337" s="6">
        <v>12.79</v>
      </c>
      <c r="F337" s="6">
        <v>23.1</v>
      </c>
      <c r="G337" s="6">
        <v>0.44</v>
      </c>
      <c r="L337" s="14"/>
    </row>
    <row r="338" spans="1:12" ht="14" x14ac:dyDescent="0.3">
      <c r="A338" s="12"/>
      <c r="B338" s="13"/>
      <c r="C338" s="13"/>
      <c r="D338" s="16">
        <f>AVERAGE(D2:D337)</f>
        <v>13.236298507462681</v>
      </c>
      <c r="E338" s="16">
        <f>AVERAGE(E2:E337)</f>
        <v>13.990029850746263</v>
      </c>
      <c r="F338" s="16">
        <f>AVERAGE(F2:F337)</f>
        <v>23.239462686567158</v>
      </c>
      <c r="G338" s="16">
        <f>AVERAGE(G2:G337)</f>
        <v>1.2237014925373122</v>
      </c>
      <c r="H338" s="17" t="s">
        <v>7</v>
      </c>
    </row>
    <row r="339" spans="1:12" ht="14" x14ac:dyDescent="0.3">
      <c r="A339" s="12"/>
      <c r="B339" s="13"/>
      <c r="C339" s="13"/>
      <c r="D339" s="16">
        <f>MEDIAN(D2:D337)</f>
        <v>8.9700000000000006</v>
      </c>
      <c r="E339" s="16">
        <f>MEDIAN(E2:E337)</f>
        <v>12.44</v>
      </c>
      <c r="F339" s="16">
        <f>MEDIAN(F2:F337)</f>
        <v>22.45</v>
      </c>
      <c r="G339" s="16">
        <f>MEDIAN(G2:G337)</f>
        <v>1.07</v>
      </c>
      <c r="H339" s="17" t="s">
        <v>8</v>
      </c>
    </row>
    <row r="340" spans="1:12" ht="14" x14ac:dyDescent="0.3">
      <c r="A340" s="12"/>
      <c r="B340" s="13"/>
      <c r="C340" s="13"/>
      <c r="D340" s="16">
        <f>MAX(D2:D337)</f>
        <v>84.41</v>
      </c>
      <c r="E340" s="16">
        <f>MAX(E2:E337)</f>
        <v>60.71</v>
      </c>
      <c r="F340" s="16">
        <f>MAX(F2:F337)</f>
        <v>36.89</v>
      </c>
      <c r="G340" s="16">
        <f>MAX(G2:G337)</f>
        <v>3.88</v>
      </c>
      <c r="H340" s="17" t="s">
        <v>9</v>
      </c>
    </row>
    <row r="341" spans="1:12" ht="14" x14ac:dyDescent="0.3">
      <c r="A341" s="12"/>
      <c r="B341" s="13"/>
      <c r="C341" s="13"/>
      <c r="D341" s="16">
        <f>MIN(D2:D337)</f>
        <v>1.07</v>
      </c>
      <c r="E341" s="16">
        <f>MIN(E2:E337)</f>
        <v>0</v>
      </c>
      <c r="F341" s="16">
        <f>MIN(F2:F337)</f>
        <v>16.309999999999999</v>
      </c>
      <c r="G341" s="16">
        <f>MIN(G2:G337)</f>
        <v>7.0000000000000007E-2</v>
      </c>
      <c r="H341" s="17" t="s">
        <v>10</v>
      </c>
    </row>
    <row r="342" spans="1:12" ht="14" x14ac:dyDescent="0.3">
      <c r="A342" s="12"/>
      <c r="B342" s="13"/>
      <c r="C342" s="13"/>
      <c r="D342" s="16">
        <f>D340-D341</f>
        <v>83.34</v>
      </c>
      <c r="E342" s="16">
        <f t="shared" ref="E342:G342" si="0">E340-E341</f>
        <v>60.71</v>
      </c>
      <c r="F342" s="16">
        <f t="shared" si="0"/>
        <v>20.580000000000002</v>
      </c>
      <c r="G342" s="16">
        <f t="shared" si="0"/>
        <v>3.81</v>
      </c>
      <c r="H342" s="17" t="s">
        <v>11</v>
      </c>
    </row>
    <row r="343" spans="1:12" ht="14" x14ac:dyDescent="0.3">
      <c r="A343" s="12"/>
      <c r="B343" s="13"/>
      <c r="C343" s="13"/>
      <c r="D343" s="16">
        <f>STDEV(D2:D337)</f>
        <v>12.639273577121962</v>
      </c>
      <c r="E343" s="16">
        <f>STDEV(E2:E337)</f>
        <v>12.401180127793513</v>
      </c>
      <c r="F343" s="16">
        <f>STDEV(F2:F337)</f>
        <v>4.3039272913923492</v>
      </c>
      <c r="G343" s="16">
        <f>STDEV(G2:G337)</f>
        <v>0.90683896950590603</v>
      </c>
      <c r="H343" s="17" t="s">
        <v>12</v>
      </c>
    </row>
    <row r="344" spans="1:12" ht="14" x14ac:dyDescent="0.3">
      <c r="A344" s="12"/>
      <c r="B344" s="13"/>
      <c r="C344" s="13"/>
    </row>
    <row r="345" spans="1:12" ht="14" x14ac:dyDescent="0.3">
      <c r="A345" s="12"/>
      <c r="B345" s="13"/>
      <c r="C345" s="13"/>
    </row>
    <row r="346" spans="1:12" ht="14" x14ac:dyDescent="0.3">
      <c r="A346" s="12"/>
      <c r="B346" s="13"/>
      <c r="C346" s="13"/>
    </row>
    <row r="347" spans="1:12" ht="14" x14ac:dyDescent="0.3">
      <c r="A347" s="12"/>
      <c r="B347" s="13"/>
      <c r="C347" s="13"/>
    </row>
    <row r="348" spans="1:12" ht="14" x14ac:dyDescent="0.3">
      <c r="A348" s="12"/>
      <c r="B348" s="13"/>
      <c r="C348" s="13"/>
    </row>
    <row r="349" spans="1:12" ht="14" x14ac:dyDescent="0.3">
      <c r="A349" s="12"/>
      <c r="B349" s="13"/>
      <c r="C349" s="13"/>
    </row>
    <row r="350" spans="1:12" ht="14" x14ac:dyDescent="0.3">
      <c r="A350" s="12"/>
      <c r="B350" s="13"/>
      <c r="C350" s="13"/>
    </row>
    <row r="351" spans="1:12" ht="14" x14ac:dyDescent="0.3">
      <c r="A351" s="12"/>
      <c r="B351" s="13"/>
      <c r="C351" s="13"/>
    </row>
    <row r="352" spans="1:12" ht="14" x14ac:dyDescent="0.3">
      <c r="A352" s="12"/>
      <c r="B352" s="13"/>
      <c r="C352" s="13"/>
    </row>
    <row r="353" spans="1:3" ht="14" x14ac:dyDescent="0.3">
      <c r="A353" s="12"/>
      <c r="B353" s="13"/>
      <c r="C353" s="13"/>
    </row>
    <row r="354" spans="1:3" ht="14" x14ac:dyDescent="0.3">
      <c r="A354" s="12"/>
      <c r="B354" s="13"/>
      <c r="C354" s="13"/>
    </row>
    <row r="355" spans="1:3" ht="14" x14ac:dyDescent="0.3">
      <c r="A355" s="12"/>
      <c r="B355" s="13"/>
      <c r="C355" s="13"/>
    </row>
    <row r="356" spans="1:3" ht="14" x14ac:dyDescent="0.3">
      <c r="A356" s="12"/>
      <c r="B356" s="13"/>
      <c r="C356" s="13"/>
    </row>
    <row r="357" spans="1:3" ht="14" x14ac:dyDescent="0.3">
      <c r="A357" s="12"/>
      <c r="B357" s="13"/>
      <c r="C357" s="13"/>
    </row>
    <row r="358" spans="1:3" ht="14" x14ac:dyDescent="0.3">
      <c r="A358" s="12"/>
      <c r="B358" s="13"/>
      <c r="C358" s="13"/>
    </row>
    <row r="359" spans="1:3" ht="14" x14ac:dyDescent="0.3">
      <c r="A359" s="12"/>
      <c r="B359" s="13"/>
      <c r="C359" s="13"/>
    </row>
    <row r="360" spans="1:3" ht="14" x14ac:dyDescent="0.3">
      <c r="A360" s="12"/>
      <c r="B360" s="13"/>
      <c r="C360" s="13"/>
    </row>
    <row r="361" spans="1:3" ht="14" x14ac:dyDescent="0.3">
      <c r="A361" s="12"/>
      <c r="B361" s="13"/>
      <c r="C361" s="13"/>
    </row>
    <row r="362" spans="1:3" ht="14" x14ac:dyDescent="0.3">
      <c r="A362" s="12"/>
      <c r="B362" s="15"/>
      <c r="C362" s="15"/>
    </row>
    <row r="363" spans="1:3" ht="14" x14ac:dyDescent="0.3">
      <c r="A363" s="12"/>
      <c r="B363" s="13"/>
      <c r="C363" s="13"/>
    </row>
    <row r="364" spans="1:3" ht="14" x14ac:dyDescent="0.3">
      <c r="A364" s="12"/>
      <c r="B364" s="13"/>
      <c r="C364" s="13"/>
    </row>
    <row r="365" spans="1:3" ht="14" x14ac:dyDescent="0.3">
      <c r="A365" s="12"/>
      <c r="B365" s="13"/>
      <c r="C365" s="13"/>
    </row>
    <row r="366" spans="1:3" ht="14" x14ac:dyDescent="0.3">
      <c r="A366" s="12"/>
      <c r="B366" s="13"/>
      <c r="C366" s="13"/>
    </row>
    <row r="367" spans="1:3" ht="14" x14ac:dyDescent="0.3">
      <c r="A367" s="12"/>
      <c r="B367" s="13"/>
      <c r="C367" s="13"/>
    </row>
    <row r="368" spans="1:3" ht="14" x14ac:dyDescent="0.3">
      <c r="A368" s="12"/>
      <c r="B368" s="13"/>
      <c r="C368" s="13"/>
    </row>
    <row r="369" spans="1:3" ht="14" x14ac:dyDescent="0.3">
      <c r="A369" s="12"/>
      <c r="B369" s="13"/>
      <c r="C369" s="13"/>
    </row>
    <row r="370" spans="1:3" ht="14" x14ac:dyDescent="0.3">
      <c r="A370" s="12"/>
      <c r="B370" s="13"/>
      <c r="C370" s="13"/>
    </row>
    <row r="371" spans="1:3" ht="14" x14ac:dyDescent="0.3">
      <c r="A371" s="12"/>
      <c r="B371" s="13"/>
      <c r="C371" s="13"/>
    </row>
    <row r="372" spans="1:3" ht="14" x14ac:dyDescent="0.3">
      <c r="A372" s="12"/>
      <c r="B372" s="13"/>
      <c r="C372" s="13"/>
    </row>
    <row r="373" spans="1:3" ht="14" x14ac:dyDescent="0.3">
      <c r="A373" s="12"/>
      <c r="B373" s="13"/>
      <c r="C373" s="13"/>
    </row>
    <row r="374" spans="1:3" ht="14" x14ac:dyDescent="0.3">
      <c r="A374" s="12"/>
      <c r="B374" s="13"/>
      <c r="C374" s="13"/>
    </row>
    <row r="375" spans="1:3" ht="14" x14ac:dyDescent="0.3">
      <c r="A375" s="12"/>
      <c r="B375" s="13"/>
      <c r="C375" s="13"/>
    </row>
    <row r="376" spans="1:3" ht="14" x14ac:dyDescent="0.3">
      <c r="A376" s="12"/>
      <c r="B376" s="13"/>
      <c r="C376" s="13"/>
    </row>
    <row r="377" spans="1:3" ht="14" x14ac:dyDescent="0.3">
      <c r="A377" s="12"/>
      <c r="B377" s="13"/>
      <c r="C377" s="13"/>
    </row>
    <row r="378" spans="1:3" ht="14" x14ac:dyDescent="0.3">
      <c r="A378" s="12"/>
      <c r="B378" s="13"/>
      <c r="C378" s="13"/>
    </row>
    <row r="379" spans="1:3" ht="14" x14ac:dyDescent="0.3">
      <c r="A379" s="12"/>
      <c r="B379" s="13"/>
      <c r="C379" s="13"/>
    </row>
    <row r="380" spans="1:3" ht="14" x14ac:dyDescent="0.3">
      <c r="A380" s="12"/>
      <c r="B380" s="13"/>
      <c r="C380" s="13"/>
    </row>
    <row r="381" spans="1:3" ht="14" x14ac:dyDescent="0.3">
      <c r="A381" s="12"/>
      <c r="B381" s="13"/>
      <c r="C381" s="13"/>
    </row>
    <row r="382" spans="1:3" ht="14" x14ac:dyDescent="0.3">
      <c r="A382" s="12"/>
      <c r="B382" s="13"/>
      <c r="C382" s="13"/>
    </row>
    <row r="383" spans="1:3" ht="14" x14ac:dyDescent="0.3">
      <c r="A383" s="12"/>
      <c r="B383" s="13"/>
      <c r="C383" s="13"/>
    </row>
    <row r="384" spans="1:3" ht="14" x14ac:dyDescent="0.3">
      <c r="A384" s="12"/>
      <c r="B384" s="13"/>
      <c r="C384" s="13"/>
    </row>
    <row r="385" spans="1:3" ht="14" x14ac:dyDescent="0.3">
      <c r="A385" s="12"/>
      <c r="B385" s="13"/>
      <c r="C385" s="13"/>
    </row>
    <row r="386" spans="1:3" ht="14" x14ac:dyDescent="0.3">
      <c r="A386" s="12"/>
      <c r="B386" s="15"/>
      <c r="C386" s="15"/>
    </row>
    <row r="387" spans="1:3" ht="14" x14ac:dyDescent="0.3">
      <c r="A387" s="12"/>
      <c r="B387" s="13"/>
      <c r="C387" s="13"/>
    </row>
    <row r="388" spans="1:3" ht="14" x14ac:dyDescent="0.3">
      <c r="A388" s="12"/>
      <c r="B388" s="13"/>
      <c r="C388" s="13"/>
    </row>
    <row r="389" spans="1:3" ht="14" x14ac:dyDescent="0.3">
      <c r="A389" s="12"/>
      <c r="B389" s="13"/>
      <c r="C389" s="13"/>
    </row>
    <row r="390" spans="1:3" ht="14" x14ac:dyDescent="0.3">
      <c r="A390" s="12"/>
      <c r="B390" s="13"/>
      <c r="C390" s="13"/>
    </row>
    <row r="391" spans="1:3" ht="14" x14ac:dyDescent="0.3">
      <c r="A391" s="12"/>
      <c r="B391" s="13"/>
      <c r="C391" s="13"/>
    </row>
    <row r="392" spans="1:3" ht="14" x14ac:dyDescent="0.3">
      <c r="A392" s="12"/>
      <c r="B392" s="13"/>
      <c r="C392" s="13"/>
    </row>
    <row r="393" spans="1:3" ht="14" x14ac:dyDescent="0.3">
      <c r="A393" s="12"/>
      <c r="B393" s="13"/>
      <c r="C393" s="13"/>
    </row>
    <row r="394" spans="1:3" ht="14" x14ac:dyDescent="0.3">
      <c r="A394" s="12"/>
      <c r="B394" s="13"/>
      <c r="C394" s="13"/>
    </row>
    <row r="395" spans="1:3" ht="14" x14ac:dyDescent="0.3">
      <c r="A395" s="12"/>
      <c r="B395" s="13"/>
      <c r="C395" s="13"/>
    </row>
    <row r="396" spans="1:3" ht="14" x14ac:dyDescent="0.3">
      <c r="A396" s="12"/>
      <c r="B396" s="13"/>
      <c r="C396" s="13"/>
    </row>
    <row r="397" spans="1:3" ht="14" x14ac:dyDescent="0.3">
      <c r="A397" s="12"/>
      <c r="B397" s="13"/>
      <c r="C397" s="13"/>
    </row>
    <row r="398" spans="1:3" ht="14" x14ac:dyDescent="0.3">
      <c r="A398" s="12"/>
      <c r="B398" s="13"/>
      <c r="C398" s="13"/>
    </row>
    <row r="399" spans="1:3" ht="14" x14ac:dyDescent="0.3">
      <c r="A399" s="12"/>
      <c r="B399" s="13"/>
      <c r="C399" s="13"/>
    </row>
    <row r="400" spans="1:3" ht="14" x14ac:dyDescent="0.3">
      <c r="A400" s="12"/>
      <c r="B400" s="13"/>
      <c r="C400" s="13"/>
    </row>
    <row r="401" spans="1:3" ht="14" x14ac:dyDescent="0.3">
      <c r="A401" s="12"/>
      <c r="B401" s="13"/>
      <c r="C401" s="13"/>
    </row>
    <row r="402" spans="1:3" ht="14" x14ac:dyDescent="0.3">
      <c r="A402" s="12"/>
      <c r="B402" s="13"/>
      <c r="C402" s="13"/>
    </row>
    <row r="403" spans="1:3" ht="14" x14ac:dyDescent="0.3">
      <c r="A403" s="12"/>
      <c r="B403" s="13"/>
      <c r="C403" s="13"/>
    </row>
    <row r="404" spans="1:3" ht="14" x14ac:dyDescent="0.3">
      <c r="A404" s="12"/>
      <c r="B404" s="13"/>
      <c r="C404" s="13"/>
    </row>
    <row r="405" spans="1:3" ht="14" x14ac:dyDescent="0.3">
      <c r="A405" s="12"/>
      <c r="B405" s="13"/>
      <c r="C405" s="13"/>
    </row>
    <row r="406" spans="1:3" ht="14" x14ac:dyDescent="0.3">
      <c r="A406" s="12"/>
      <c r="B406" s="13"/>
      <c r="C406" s="13"/>
    </row>
    <row r="407" spans="1:3" ht="14" x14ac:dyDescent="0.3">
      <c r="A407" s="12"/>
      <c r="B407" s="13"/>
      <c r="C407" s="13"/>
    </row>
    <row r="408" spans="1:3" ht="14" x14ac:dyDescent="0.3">
      <c r="A408" s="12"/>
      <c r="B408" s="13"/>
      <c r="C408" s="13"/>
    </row>
    <row r="409" spans="1:3" ht="14" x14ac:dyDescent="0.3">
      <c r="A409" s="12"/>
      <c r="B409" s="13"/>
      <c r="C409" s="13"/>
    </row>
    <row r="410" spans="1:3" ht="14" x14ac:dyDescent="0.3">
      <c r="A410" s="12"/>
      <c r="B410" s="15"/>
      <c r="C410" s="15"/>
    </row>
    <row r="411" spans="1:3" ht="14" x14ac:dyDescent="0.3">
      <c r="A411" s="12"/>
      <c r="B411" s="13"/>
      <c r="C411" s="13"/>
    </row>
    <row r="412" spans="1:3" ht="14" x14ac:dyDescent="0.3">
      <c r="A412" s="12"/>
      <c r="B412" s="13"/>
      <c r="C412" s="13"/>
    </row>
    <row r="413" spans="1:3" ht="14" x14ac:dyDescent="0.3">
      <c r="A413" s="12"/>
      <c r="B413" s="13"/>
      <c r="C413" s="13"/>
    </row>
    <row r="414" spans="1:3" ht="14" x14ac:dyDescent="0.3">
      <c r="A414" s="12"/>
      <c r="B414" s="13"/>
      <c r="C414" s="13"/>
    </row>
    <row r="415" spans="1:3" ht="14" x14ac:dyDescent="0.3">
      <c r="A415" s="12"/>
      <c r="B415" s="13"/>
      <c r="C415" s="13"/>
    </row>
    <row r="416" spans="1:3" ht="14" x14ac:dyDescent="0.3">
      <c r="A416" s="12"/>
      <c r="B416" s="13"/>
      <c r="C416" s="13"/>
    </row>
    <row r="417" spans="1:3" ht="14" x14ac:dyDescent="0.3">
      <c r="A417" s="12"/>
      <c r="B417" s="13"/>
      <c r="C417" s="13"/>
    </row>
    <row r="418" spans="1:3" ht="14" x14ac:dyDescent="0.3">
      <c r="A418" s="12"/>
      <c r="B418" s="13"/>
      <c r="C418" s="13"/>
    </row>
    <row r="419" spans="1:3" ht="14" x14ac:dyDescent="0.3">
      <c r="A419" s="12"/>
      <c r="B419" s="13"/>
      <c r="C419" s="13"/>
    </row>
    <row r="420" spans="1:3" ht="14" x14ac:dyDescent="0.3">
      <c r="A420" s="12"/>
      <c r="B420" s="13"/>
      <c r="C420" s="13"/>
    </row>
    <row r="421" spans="1:3" ht="14" x14ac:dyDescent="0.3">
      <c r="A421" s="12"/>
      <c r="B421" s="13"/>
      <c r="C421" s="13"/>
    </row>
    <row r="422" spans="1:3" ht="14" x14ac:dyDescent="0.3">
      <c r="A422" s="12"/>
      <c r="B422" s="13"/>
      <c r="C422" s="13"/>
    </row>
    <row r="423" spans="1:3" ht="14" x14ac:dyDescent="0.3">
      <c r="A423" s="12"/>
      <c r="B423" s="13"/>
      <c r="C423" s="13"/>
    </row>
    <row r="424" spans="1:3" ht="14" x14ac:dyDescent="0.3">
      <c r="A424" s="12"/>
      <c r="B424" s="13"/>
      <c r="C424" s="13"/>
    </row>
    <row r="425" spans="1:3" ht="14" x14ac:dyDescent="0.3">
      <c r="A425" s="12"/>
      <c r="B425" s="13"/>
      <c r="C425" s="13"/>
    </row>
    <row r="426" spans="1:3" ht="14" x14ac:dyDescent="0.3">
      <c r="A426" s="12"/>
      <c r="B426" s="13"/>
      <c r="C426" s="13"/>
    </row>
    <row r="427" spans="1:3" ht="14" x14ac:dyDescent="0.3">
      <c r="A427" s="12"/>
      <c r="B427" s="13"/>
      <c r="C427" s="13"/>
    </row>
    <row r="428" spans="1:3" ht="14" x14ac:dyDescent="0.3">
      <c r="A428" s="12"/>
      <c r="B428" s="13"/>
      <c r="C428" s="13"/>
    </row>
    <row r="429" spans="1:3" ht="14" x14ac:dyDescent="0.3">
      <c r="A429" s="12"/>
      <c r="B429" s="13"/>
      <c r="C429" s="13"/>
    </row>
    <row r="430" spans="1:3" ht="14" x14ac:dyDescent="0.3">
      <c r="A430" s="12"/>
      <c r="B430" s="13"/>
      <c r="C430" s="13"/>
    </row>
    <row r="431" spans="1:3" ht="14" x14ac:dyDescent="0.3">
      <c r="A431" s="12"/>
      <c r="B431" s="13"/>
      <c r="C431" s="13"/>
    </row>
    <row r="432" spans="1:3" ht="14" x14ac:dyDescent="0.3">
      <c r="A432" s="12"/>
      <c r="B432" s="13"/>
      <c r="C432" s="13"/>
    </row>
    <row r="433" spans="1:3" ht="14" x14ac:dyDescent="0.3">
      <c r="A433" s="12"/>
      <c r="B433" s="13"/>
      <c r="C433" s="13"/>
    </row>
    <row r="434" spans="1:3" ht="14" x14ac:dyDescent="0.3">
      <c r="A434" s="12"/>
      <c r="B434" s="15"/>
      <c r="C434" s="15"/>
    </row>
    <row r="435" spans="1:3" ht="14" x14ac:dyDescent="0.3">
      <c r="A435" s="12"/>
      <c r="B435" s="13"/>
      <c r="C435" s="13"/>
    </row>
    <row r="436" spans="1:3" ht="14" x14ac:dyDescent="0.3">
      <c r="A436" s="12"/>
      <c r="B436" s="13"/>
      <c r="C436" s="13"/>
    </row>
    <row r="437" spans="1:3" ht="14" x14ac:dyDescent="0.3">
      <c r="A437" s="12"/>
      <c r="B437" s="13"/>
      <c r="C437" s="13"/>
    </row>
    <row r="438" spans="1:3" ht="14" x14ac:dyDescent="0.3">
      <c r="A438" s="12"/>
      <c r="B438" s="13"/>
      <c r="C438" s="13"/>
    </row>
    <row r="439" spans="1:3" ht="14" x14ac:dyDescent="0.3">
      <c r="A439" s="12"/>
      <c r="B439" s="13"/>
      <c r="C439" s="13"/>
    </row>
    <row r="440" spans="1:3" ht="14" x14ac:dyDescent="0.3">
      <c r="A440" s="12"/>
      <c r="B440" s="13"/>
      <c r="C440" s="13"/>
    </row>
    <row r="441" spans="1:3" ht="14" x14ac:dyDescent="0.3">
      <c r="A441" s="12"/>
      <c r="B441" s="13"/>
      <c r="C441" s="13"/>
    </row>
    <row r="442" spans="1:3" ht="14" x14ac:dyDescent="0.3">
      <c r="A442" s="12"/>
      <c r="B442" s="13"/>
      <c r="C442" s="13"/>
    </row>
    <row r="443" spans="1:3" ht="14" x14ac:dyDescent="0.3">
      <c r="A443" s="12"/>
      <c r="B443" s="13"/>
      <c r="C443" s="13"/>
    </row>
    <row r="444" spans="1:3" ht="14" x14ac:dyDescent="0.3">
      <c r="A444" s="12"/>
      <c r="B444" s="13"/>
      <c r="C444" s="13"/>
    </row>
    <row r="445" spans="1:3" ht="14" x14ac:dyDescent="0.3">
      <c r="A445" s="12"/>
      <c r="B445" s="13"/>
      <c r="C445" s="13"/>
    </row>
    <row r="446" spans="1:3" ht="14" x14ac:dyDescent="0.3">
      <c r="A446" s="12"/>
      <c r="B446" s="13"/>
      <c r="C446" s="13"/>
    </row>
    <row r="447" spans="1:3" ht="14" x14ac:dyDescent="0.3">
      <c r="A447" s="12"/>
      <c r="B447" s="13"/>
      <c r="C447" s="13"/>
    </row>
    <row r="448" spans="1:3" ht="14" x14ac:dyDescent="0.3">
      <c r="A448" s="12"/>
      <c r="B448" s="13"/>
      <c r="C448" s="13"/>
    </row>
    <row r="449" spans="1:3" ht="14" x14ac:dyDescent="0.3">
      <c r="A449" s="12"/>
      <c r="B449" s="13"/>
      <c r="C449" s="13"/>
    </row>
    <row r="450" spans="1:3" ht="14" x14ac:dyDescent="0.3">
      <c r="A450" s="12"/>
      <c r="B450" s="13"/>
      <c r="C450" s="13"/>
    </row>
    <row r="451" spans="1:3" ht="14" x14ac:dyDescent="0.3">
      <c r="A451" s="12"/>
      <c r="B451" s="13"/>
      <c r="C451" s="13"/>
    </row>
    <row r="452" spans="1:3" ht="14" x14ac:dyDescent="0.3">
      <c r="A452" s="12"/>
      <c r="B452" s="13"/>
      <c r="C452" s="13"/>
    </row>
    <row r="453" spans="1:3" ht="14" x14ac:dyDescent="0.3">
      <c r="A453" s="12"/>
      <c r="B453" s="13"/>
      <c r="C453" s="13"/>
    </row>
    <row r="454" spans="1:3" ht="14" x14ac:dyDescent="0.3">
      <c r="A454" s="12"/>
      <c r="B454" s="13"/>
      <c r="C454" s="13"/>
    </row>
    <row r="455" spans="1:3" ht="14" x14ac:dyDescent="0.3">
      <c r="A455" s="12"/>
      <c r="B455" s="13"/>
      <c r="C455" s="13"/>
    </row>
    <row r="456" spans="1:3" ht="14" x14ac:dyDescent="0.3">
      <c r="A456" s="12"/>
      <c r="B456" s="13"/>
      <c r="C456" s="13"/>
    </row>
    <row r="457" spans="1:3" ht="14" x14ac:dyDescent="0.3">
      <c r="A457" s="12"/>
      <c r="B457" s="13"/>
      <c r="C457" s="13"/>
    </row>
    <row r="458" spans="1:3" ht="14" x14ac:dyDescent="0.3">
      <c r="A458" s="12"/>
      <c r="B458" s="15"/>
      <c r="C458" s="15"/>
    </row>
    <row r="459" spans="1:3" ht="14" x14ac:dyDescent="0.3">
      <c r="A459" s="12"/>
      <c r="B459" s="13"/>
      <c r="C459" s="13"/>
    </row>
    <row r="460" spans="1:3" ht="14" x14ac:dyDescent="0.3">
      <c r="A460" s="12"/>
      <c r="B460" s="13"/>
      <c r="C460" s="13"/>
    </row>
    <row r="461" spans="1:3" ht="14" x14ac:dyDescent="0.3">
      <c r="A461" s="12"/>
      <c r="B461" s="13"/>
      <c r="C461" s="13"/>
    </row>
    <row r="462" spans="1:3" ht="14" x14ac:dyDescent="0.3">
      <c r="A462" s="12"/>
      <c r="B462" s="13"/>
      <c r="C462" s="13"/>
    </row>
    <row r="463" spans="1:3" ht="14" x14ac:dyDescent="0.3">
      <c r="A463" s="12"/>
      <c r="B463" s="13"/>
      <c r="C463" s="13"/>
    </row>
    <row r="464" spans="1:3" ht="14" x14ac:dyDescent="0.3">
      <c r="A464" s="12"/>
      <c r="B464" s="13"/>
      <c r="C464" s="13"/>
    </row>
    <row r="465" spans="1:3" ht="14" x14ac:dyDescent="0.3">
      <c r="A465" s="12"/>
      <c r="B465" s="13"/>
      <c r="C465" s="13"/>
    </row>
    <row r="466" spans="1:3" ht="14" x14ac:dyDescent="0.3">
      <c r="A466" s="12"/>
      <c r="B466" s="13"/>
      <c r="C466" s="13"/>
    </row>
    <row r="467" spans="1:3" ht="14" x14ac:dyDescent="0.3">
      <c r="A467" s="12"/>
      <c r="B467" s="13"/>
      <c r="C467" s="13"/>
    </row>
    <row r="468" spans="1:3" ht="14" x14ac:dyDescent="0.3">
      <c r="A468" s="12"/>
      <c r="B468" s="13"/>
      <c r="C468" s="13"/>
    </row>
    <row r="469" spans="1:3" ht="14" x14ac:dyDescent="0.3">
      <c r="A469" s="12"/>
      <c r="B469" s="13"/>
      <c r="C469" s="13"/>
    </row>
    <row r="470" spans="1:3" ht="14" x14ac:dyDescent="0.3">
      <c r="A470" s="12"/>
      <c r="B470" s="13"/>
      <c r="C470" s="13"/>
    </row>
    <row r="471" spans="1:3" ht="14" x14ac:dyDescent="0.3">
      <c r="A471" s="12"/>
      <c r="B471" s="13"/>
      <c r="C471" s="13"/>
    </row>
    <row r="472" spans="1:3" ht="14" x14ac:dyDescent="0.3">
      <c r="A472" s="12"/>
      <c r="B472" s="13"/>
      <c r="C472" s="13"/>
    </row>
    <row r="473" spans="1:3" ht="14" x14ac:dyDescent="0.3">
      <c r="A473" s="12"/>
      <c r="B473" s="13"/>
      <c r="C473" s="13"/>
    </row>
    <row r="474" spans="1:3" ht="14" x14ac:dyDescent="0.3">
      <c r="A474" s="12"/>
      <c r="B474" s="13"/>
      <c r="C474" s="13"/>
    </row>
    <row r="475" spans="1:3" ht="14" x14ac:dyDescent="0.3">
      <c r="A475" s="12"/>
      <c r="B475" s="13"/>
      <c r="C475" s="13"/>
    </row>
    <row r="476" spans="1:3" ht="14" x14ac:dyDescent="0.3">
      <c r="A476" s="12"/>
      <c r="B476" s="13"/>
      <c r="C476" s="13"/>
    </row>
    <row r="477" spans="1:3" ht="14" x14ac:dyDescent="0.3">
      <c r="A477" s="12"/>
      <c r="B477" s="13"/>
      <c r="C477" s="13"/>
    </row>
    <row r="478" spans="1:3" ht="14" x14ac:dyDescent="0.3">
      <c r="A478" s="12"/>
      <c r="B478" s="13"/>
      <c r="C478" s="13"/>
    </row>
    <row r="479" spans="1:3" ht="14" x14ac:dyDescent="0.3">
      <c r="A479" s="12"/>
      <c r="B479" s="13"/>
      <c r="C479" s="13"/>
    </row>
    <row r="480" spans="1:3" ht="14" x14ac:dyDescent="0.3">
      <c r="A480" s="12"/>
      <c r="B480" s="13"/>
      <c r="C480" s="13"/>
    </row>
    <row r="481" spans="1:3" ht="14" x14ac:dyDescent="0.3">
      <c r="A481" s="12"/>
      <c r="B481" s="13"/>
      <c r="C481" s="13"/>
    </row>
    <row r="482" spans="1:3" ht="14" x14ac:dyDescent="0.3">
      <c r="A482" s="12"/>
      <c r="B482" s="15"/>
      <c r="C482" s="15"/>
    </row>
    <row r="483" spans="1:3" ht="14" x14ac:dyDescent="0.3">
      <c r="A483" s="12"/>
      <c r="B483" s="13"/>
      <c r="C483" s="13"/>
    </row>
    <row r="484" spans="1:3" ht="14" x14ac:dyDescent="0.3">
      <c r="A484" s="12"/>
      <c r="B484" s="13"/>
      <c r="C484" s="13"/>
    </row>
    <row r="485" spans="1:3" ht="14" x14ac:dyDescent="0.3">
      <c r="A485" s="12"/>
      <c r="B485" s="13"/>
      <c r="C485" s="13"/>
    </row>
    <row r="486" spans="1:3" ht="14" x14ac:dyDescent="0.3">
      <c r="A486" s="12"/>
      <c r="B486" s="13"/>
      <c r="C486" s="13"/>
    </row>
    <row r="487" spans="1:3" ht="14" x14ac:dyDescent="0.3">
      <c r="A487" s="12"/>
      <c r="B487" s="13"/>
      <c r="C487" s="13"/>
    </row>
    <row r="488" spans="1:3" ht="14" x14ac:dyDescent="0.3">
      <c r="A488" s="12"/>
      <c r="B488" s="13"/>
      <c r="C488" s="13"/>
    </row>
    <row r="489" spans="1:3" ht="14" x14ac:dyDescent="0.3">
      <c r="A489" s="12"/>
      <c r="B489" s="13"/>
      <c r="C489" s="13"/>
    </row>
    <row r="490" spans="1:3" ht="14" x14ac:dyDescent="0.3">
      <c r="A490" s="12"/>
      <c r="B490" s="13"/>
      <c r="C490" s="13"/>
    </row>
    <row r="491" spans="1:3" ht="14" x14ac:dyDescent="0.3">
      <c r="A491" s="12"/>
      <c r="B491" s="13"/>
      <c r="C491" s="13"/>
    </row>
    <row r="492" spans="1:3" ht="14" x14ac:dyDescent="0.3">
      <c r="A492" s="12"/>
      <c r="B492" s="13"/>
      <c r="C492" s="13"/>
    </row>
    <row r="493" spans="1:3" ht="14" x14ac:dyDescent="0.3">
      <c r="A493" s="12"/>
      <c r="B493" s="13"/>
      <c r="C493" s="13"/>
    </row>
    <row r="494" spans="1:3" ht="14" x14ac:dyDescent="0.3">
      <c r="A494" s="12"/>
      <c r="B494" s="13"/>
      <c r="C494" s="13"/>
    </row>
    <row r="495" spans="1:3" ht="14" x14ac:dyDescent="0.3">
      <c r="A495" s="12"/>
      <c r="B495" s="13"/>
      <c r="C495" s="13"/>
    </row>
    <row r="496" spans="1:3" ht="14" x14ac:dyDescent="0.3">
      <c r="A496" s="12"/>
      <c r="B496" s="13"/>
      <c r="C496" s="13"/>
    </row>
    <row r="497" spans="1:3" ht="14" x14ac:dyDescent="0.3">
      <c r="A497" s="12"/>
      <c r="B497" s="13"/>
      <c r="C497" s="13"/>
    </row>
    <row r="498" spans="1:3" ht="14" x14ac:dyDescent="0.3">
      <c r="A498" s="12"/>
      <c r="B498" s="13"/>
      <c r="C498" s="13"/>
    </row>
    <row r="499" spans="1:3" ht="14" x14ac:dyDescent="0.3">
      <c r="A499" s="12"/>
      <c r="B499" s="13"/>
      <c r="C499" s="13"/>
    </row>
    <row r="500" spans="1:3" ht="14" x14ac:dyDescent="0.3">
      <c r="A500" s="12"/>
      <c r="B500" s="13"/>
      <c r="C500" s="13"/>
    </row>
    <row r="501" spans="1:3" ht="14" x14ac:dyDescent="0.3">
      <c r="A501" s="12"/>
      <c r="B501" s="13"/>
      <c r="C501" s="13"/>
    </row>
    <row r="502" spans="1:3" ht="14" x14ac:dyDescent="0.3">
      <c r="A502" s="12"/>
      <c r="B502" s="13"/>
      <c r="C502" s="13"/>
    </row>
    <row r="503" spans="1:3" ht="14" x14ac:dyDescent="0.3">
      <c r="A503" s="12"/>
      <c r="B503" s="13"/>
      <c r="C503" s="13"/>
    </row>
    <row r="504" spans="1:3" ht="14" x14ac:dyDescent="0.3">
      <c r="A504" s="12"/>
      <c r="B504" s="13"/>
      <c r="C504" s="13"/>
    </row>
    <row r="505" spans="1:3" ht="14" x14ac:dyDescent="0.3">
      <c r="A505" s="12"/>
      <c r="B505" s="13"/>
      <c r="C505" s="13"/>
    </row>
    <row r="506" spans="1:3" ht="14" x14ac:dyDescent="0.3">
      <c r="A506" s="12"/>
      <c r="B506" s="15"/>
      <c r="C506" s="15"/>
    </row>
    <row r="507" spans="1:3" ht="14" x14ac:dyDescent="0.3">
      <c r="A507" s="12"/>
      <c r="B507" s="13"/>
      <c r="C507" s="13"/>
    </row>
    <row r="508" spans="1:3" ht="14" x14ac:dyDescent="0.3">
      <c r="A508" s="12"/>
      <c r="B508" s="13"/>
      <c r="C508" s="13"/>
    </row>
    <row r="509" spans="1:3" ht="14" x14ac:dyDescent="0.3">
      <c r="A509" s="12"/>
      <c r="B509" s="13"/>
      <c r="C509" s="13"/>
    </row>
    <row r="510" spans="1:3" ht="14" x14ac:dyDescent="0.3">
      <c r="A510" s="12"/>
      <c r="B510" s="13"/>
      <c r="C510" s="13"/>
    </row>
    <row r="511" spans="1:3" ht="14" x14ac:dyDescent="0.3">
      <c r="A511" s="12"/>
      <c r="B511" s="13"/>
      <c r="C511" s="13"/>
    </row>
    <row r="512" spans="1:3" ht="14" x14ac:dyDescent="0.3">
      <c r="A512" s="12"/>
      <c r="B512" s="13"/>
      <c r="C512" s="13"/>
    </row>
    <row r="513" spans="1:3" ht="14" x14ac:dyDescent="0.3">
      <c r="A513" s="12"/>
      <c r="B513" s="13"/>
      <c r="C513" s="13"/>
    </row>
    <row r="514" spans="1:3" ht="14" x14ac:dyDescent="0.3">
      <c r="A514" s="12"/>
      <c r="B514" s="13"/>
      <c r="C514" s="13"/>
    </row>
    <row r="515" spans="1:3" ht="14" x14ac:dyDescent="0.3">
      <c r="A515" s="12"/>
      <c r="B515" s="13"/>
      <c r="C515" s="13"/>
    </row>
    <row r="516" spans="1:3" ht="14" x14ac:dyDescent="0.3">
      <c r="A516" s="12"/>
      <c r="B516" s="13"/>
      <c r="C516" s="13"/>
    </row>
    <row r="517" spans="1:3" ht="14" x14ac:dyDescent="0.3">
      <c r="A517" s="12"/>
      <c r="B517" s="13"/>
      <c r="C517" s="13"/>
    </row>
    <row r="518" spans="1:3" ht="14" x14ac:dyDescent="0.3">
      <c r="A518" s="12"/>
      <c r="B518" s="13"/>
      <c r="C518" s="13"/>
    </row>
    <row r="519" spans="1:3" ht="14" x14ac:dyDescent="0.3">
      <c r="A519" s="12"/>
      <c r="B519" s="13"/>
      <c r="C519" s="13"/>
    </row>
    <row r="520" spans="1:3" ht="14" x14ac:dyDescent="0.3">
      <c r="A520" s="12"/>
      <c r="B520" s="13"/>
      <c r="C520" s="13"/>
    </row>
    <row r="521" spans="1:3" ht="14" x14ac:dyDescent="0.3">
      <c r="A521" s="12"/>
      <c r="B521" s="13"/>
      <c r="C521" s="13"/>
    </row>
    <row r="522" spans="1:3" ht="14" x14ac:dyDescent="0.3">
      <c r="A522" s="12"/>
      <c r="B522" s="13"/>
      <c r="C522" s="13"/>
    </row>
    <row r="523" spans="1:3" ht="14" x14ac:dyDescent="0.3">
      <c r="A523" s="12"/>
      <c r="B523" s="13"/>
      <c r="C523" s="13"/>
    </row>
    <row r="524" spans="1:3" ht="14" x14ac:dyDescent="0.3">
      <c r="A524" s="12"/>
      <c r="B524" s="13"/>
      <c r="C524" s="13"/>
    </row>
    <row r="525" spans="1:3" ht="14" x14ac:dyDescent="0.3">
      <c r="A525" s="12"/>
      <c r="B525" s="13"/>
      <c r="C525" s="13"/>
    </row>
    <row r="526" spans="1:3" ht="14" x14ac:dyDescent="0.3">
      <c r="A526" s="12"/>
      <c r="B526" s="13"/>
      <c r="C526" s="13"/>
    </row>
    <row r="527" spans="1:3" ht="14" x14ac:dyDescent="0.3">
      <c r="A527" s="12"/>
      <c r="B527" s="13"/>
      <c r="C527" s="13"/>
    </row>
    <row r="528" spans="1:3" ht="14" x14ac:dyDescent="0.3">
      <c r="A528" s="12"/>
      <c r="B528" s="13"/>
      <c r="C528" s="13"/>
    </row>
    <row r="529" spans="1:3" ht="14" x14ac:dyDescent="0.3">
      <c r="A529" s="12"/>
      <c r="B529" s="13"/>
      <c r="C529" s="13"/>
    </row>
    <row r="530" spans="1:3" ht="14" x14ac:dyDescent="0.3">
      <c r="A530" s="12"/>
      <c r="B530" s="15"/>
      <c r="C530" s="15"/>
    </row>
    <row r="531" spans="1:3" ht="14" x14ac:dyDescent="0.3">
      <c r="A531" s="12"/>
      <c r="B531" s="13"/>
      <c r="C531" s="13"/>
    </row>
    <row r="532" spans="1:3" ht="14" x14ac:dyDescent="0.3">
      <c r="A532" s="12"/>
      <c r="B532" s="13"/>
      <c r="C532" s="13"/>
    </row>
    <row r="533" spans="1:3" ht="14" x14ac:dyDescent="0.3">
      <c r="A533" s="12"/>
      <c r="B533" s="13"/>
      <c r="C533" s="13"/>
    </row>
    <row r="534" spans="1:3" ht="14" x14ac:dyDescent="0.3">
      <c r="A534" s="12"/>
      <c r="B534" s="13"/>
      <c r="C534" s="13"/>
    </row>
    <row r="535" spans="1:3" ht="14" x14ac:dyDescent="0.3">
      <c r="A535" s="12"/>
      <c r="B535" s="13"/>
      <c r="C535" s="13"/>
    </row>
    <row r="536" spans="1:3" ht="14" x14ac:dyDescent="0.3">
      <c r="A536" s="12"/>
      <c r="B536" s="13"/>
      <c r="C536" s="13"/>
    </row>
    <row r="537" spans="1:3" ht="14" x14ac:dyDescent="0.3">
      <c r="A537" s="12"/>
      <c r="B537" s="13"/>
      <c r="C537" s="13"/>
    </row>
    <row r="538" spans="1:3" ht="14" x14ac:dyDescent="0.3">
      <c r="A538" s="12"/>
      <c r="B538" s="13"/>
      <c r="C538" s="13"/>
    </row>
    <row r="539" spans="1:3" ht="14" x14ac:dyDescent="0.3">
      <c r="A539" s="12"/>
      <c r="B539" s="13"/>
      <c r="C539" s="13"/>
    </row>
    <row r="540" spans="1:3" ht="14" x14ac:dyDescent="0.3">
      <c r="A540" s="12"/>
      <c r="B540" s="13"/>
      <c r="C540" s="13"/>
    </row>
    <row r="541" spans="1:3" ht="14" x14ac:dyDescent="0.3">
      <c r="A541" s="12"/>
      <c r="B541" s="13"/>
      <c r="C541" s="13"/>
    </row>
    <row r="542" spans="1:3" ht="14" x14ac:dyDescent="0.3">
      <c r="A542" s="12"/>
      <c r="B542" s="13"/>
      <c r="C542" s="13"/>
    </row>
    <row r="543" spans="1:3" ht="14" x14ac:dyDescent="0.3">
      <c r="A543" s="12"/>
      <c r="B543" s="13"/>
      <c r="C543" s="13"/>
    </row>
    <row r="544" spans="1:3" ht="14" x14ac:dyDescent="0.3">
      <c r="A544" s="12"/>
      <c r="B544" s="13"/>
      <c r="C544" s="13"/>
    </row>
    <row r="545" spans="1:3" ht="14" x14ac:dyDescent="0.3">
      <c r="A545" s="12"/>
      <c r="B545" s="13"/>
      <c r="C545" s="13"/>
    </row>
    <row r="546" spans="1:3" ht="14" x14ac:dyDescent="0.3">
      <c r="A546" s="12"/>
      <c r="B546" s="13"/>
      <c r="C546" s="13"/>
    </row>
    <row r="547" spans="1:3" ht="14" x14ac:dyDescent="0.3">
      <c r="A547" s="12"/>
      <c r="B547" s="13"/>
      <c r="C547" s="13"/>
    </row>
    <row r="548" spans="1:3" ht="14" x14ac:dyDescent="0.3">
      <c r="A548" s="12"/>
      <c r="B548" s="13"/>
      <c r="C548" s="13"/>
    </row>
    <row r="549" spans="1:3" ht="14" x14ac:dyDescent="0.3">
      <c r="A549" s="12"/>
      <c r="B549" s="13"/>
      <c r="C549" s="13"/>
    </row>
    <row r="550" spans="1:3" ht="14" x14ac:dyDescent="0.3">
      <c r="A550" s="12"/>
      <c r="B550" s="13"/>
      <c r="C550" s="13"/>
    </row>
    <row r="551" spans="1:3" ht="14" x14ac:dyDescent="0.3">
      <c r="A551" s="12"/>
      <c r="B551" s="13"/>
      <c r="C551" s="13"/>
    </row>
    <row r="552" spans="1:3" ht="14" x14ac:dyDescent="0.3">
      <c r="A552" s="12"/>
      <c r="B552" s="13"/>
      <c r="C552" s="13"/>
    </row>
    <row r="553" spans="1:3" ht="14" x14ac:dyDescent="0.3">
      <c r="A553" s="12"/>
      <c r="B553" s="13"/>
      <c r="C553" s="13"/>
    </row>
    <row r="554" spans="1:3" ht="14" x14ac:dyDescent="0.3">
      <c r="A554" s="12"/>
      <c r="B554" s="15"/>
      <c r="C554" s="15"/>
    </row>
    <row r="555" spans="1:3" ht="14" x14ac:dyDescent="0.3">
      <c r="A555" s="12"/>
      <c r="B555" s="13"/>
      <c r="C555" s="13"/>
    </row>
    <row r="556" spans="1:3" ht="14" x14ac:dyDescent="0.3">
      <c r="A556" s="12"/>
      <c r="B556" s="13"/>
      <c r="C556" s="13"/>
    </row>
    <row r="557" spans="1:3" ht="14" x14ac:dyDescent="0.3">
      <c r="A557" s="12"/>
      <c r="B557" s="13"/>
      <c r="C557" s="13"/>
    </row>
    <row r="558" spans="1:3" ht="14" x14ac:dyDescent="0.3">
      <c r="A558" s="12"/>
      <c r="B558" s="13"/>
      <c r="C558" s="13"/>
    </row>
    <row r="559" spans="1:3" ht="14" x14ac:dyDescent="0.3">
      <c r="A559" s="12"/>
      <c r="B559" s="13"/>
      <c r="C559" s="13"/>
    </row>
    <row r="560" spans="1:3" ht="14" x14ac:dyDescent="0.3">
      <c r="A560" s="12"/>
      <c r="B560" s="13"/>
      <c r="C560" s="13"/>
    </row>
    <row r="561" spans="1:3" ht="14" x14ac:dyDescent="0.3">
      <c r="A561" s="12"/>
      <c r="B561" s="13"/>
      <c r="C561" s="13"/>
    </row>
    <row r="562" spans="1:3" ht="14" x14ac:dyDescent="0.3">
      <c r="A562" s="12"/>
      <c r="B562" s="13"/>
      <c r="C562" s="13"/>
    </row>
    <row r="563" spans="1:3" ht="14" x14ac:dyDescent="0.3">
      <c r="A563" s="12"/>
      <c r="B563" s="13"/>
      <c r="C563" s="13"/>
    </row>
    <row r="564" spans="1:3" ht="14" x14ac:dyDescent="0.3">
      <c r="A564" s="12"/>
      <c r="B564" s="13"/>
      <c r="C564" s="13"/>
    </row>
    <row r="565" spans="1:3" ht="14" x14ac:dyDescent="0.3">
      <c r="A565" s="12"/>
      <c r="B565" s="13"/>
      <c r="C565" s="13"/>
    </row>
    <row r="566" spans="1:3" ht="14" x14ac:dyDescent="0.3">
      <c r="A566" s="12"/>
      <c r="B566" s="13"/>
      <c r="C566" s="13"/>
    </row>
    <row r="567" spans="1:3" ht="14" x14ac:dyDescent="0.3">
      <c r="A567" s="12"/>
      <c r="B567" s="13"/>
      <c r="C567" s="13"/>
    </row>
    <row r="568" spans="1:3" ht="14" x14ac:dyDescent="0.3">
      <c r="A568" s="12"/>
      <c r="B568" s="13"/>
      <c r="C568" s="13"/>
    </row>
    <row r="569" spans="1:3" ht="14" x14ac:dyDescent="0.3">
      <c r="A569" s="12"/>
      <c r="B569" s="13"/>
      <c r="C569" s="13"/>
    </row>
    <row r="570" spans="1:3" ht="14" x14ac:dyDescent="0.3">
      <c r="A570" s="12"/>
      <c r="B570" s="13"/>
      <c r="C570" s="13"/>
    </row>
    <row r="571" spans="1:3" ht="14" x14ac:dyDescent="0.3">
      <c r="A571" s="12"/>
      <c r="B571" s="13"/>
      <c r="C571" s="13"/>
    </row>
    <row r="572" spans="1:3" ht="14" x14ac:dyDescent="0.3">
      <c r="A572" s="12"/>
      <c r="B572" s="13"/>
      <c r="C572" s="13"/>
    </row>
    <row r="573" spans="1:3" ht="14" x14ac:dyDescent="0.3">
      <c r="A573" s="12"/>
      <c r="B573" s="13"/>
      <c r="C573" s="13"/>
    </row>
    <row r="574" spans="1:3" ht="14" x14ac:dyDescent="0.3">
      <c r="A574" s="12"/>
      <c r="B574" s="13"/>
      <c r="C574" s="13"/>
    </row>
    <row r="575" spans="1:3" ht="14" x14ac:dyDescent="0.3">
      <c r="A575" s="12"/>
      <c r="B575" s="13"/>
      <c r="C575" s="13"/>
    </row>
    <row r="576" spans="1:3" ht="14" x14ac:dyDescent="0.3">
      <c r="A576" s="12"/>
      <c r="B576" s="13"/>
      <c r="C576" s="13"/>
    </row>
    <row r="577" spans="1:3" ht="14" x14ac:dyDescent="0.3">
      <c r="A577" s="12"/>
      <c r="B577" s="13"/>
      <c r="C577" s="13"/>
    </row>
    <row r="578" spans="1:3" ht="14" x14ac:dyDescent="0.3">
      <c r="A578" s="12"/>
      <c r="B578" s="15"/>
      <c r="C578" s="15"/>
    </row>
    <row r="579" spans="1:3" ht="14" x14ac:dyDescent="0.3">
      <c r="A579" s="12"/>
      <c r="B579" s="13"/>
      <c r="C579" s="13"/>
    </row>
    <row r="580" spans="1:3" ht="14" x14ac:dyDescent="0.3">
      <c r="A580" s="12"/>
      <c r="B580" s="13"/>
      <c r="C580" s="13"/>
    </row>
    <row r="581" spans="1:3" ht="14" x14ac:dyDescent="0.3">
      <c r="A581" s="12"/>
      <c r="B581" s="13"/>
      <c r="C581" s="13"/>
    </row>
    <row r="582" spans="1:3" ht="14" x14ac:dyDescent="0.3">
      <c r="A582" s="12"/>
      <c r="B582" s="13"/>
      <c r="C582" s="13"/>
    </row>
    <row r="583" spans="1:3" ht="14" x14ac:dyDescent="0.3">
      <c r="A583" s="12"/>
      <c r="B583" s="13"/>
      <c r="C583" s="13"/>
    </row>
    <row r="584" spans="1:3" ht="14" x14ac:dyDescent="0.3">
      <c r="A584" s="12"/>
      <c r="B584" s="13"/>
      <c r="C584" s="13"/>
    </row>
    <row r="585" spans="1:3" ht="14" x14ac:dyDescent="0.3">
      <c r="A585" s="12"/>
      <c r="B585" s="13"/>
      <c r="C585" s="13"/>
    </row>
    <row r="586" spans="1:3" ht="14" x14ac:dyDescent="0.3">
      <c r="A586" s="12"/>
      <c r="B586" s="13"/>
      <c r="C586" s="13"/>
    </row>
    <row r="587" spans="1:3" ht="14" x14ac:dyDescent="0.3">
      <c r="A587" s="12"/>
      <c r="B587" s="13"/>
      <c r="C587" s="13"/>
    </row>
    <row r="588" spans="1:3" ht="14" x14ac:dyDescent="0.3">
      <c r="A588" s="12"/>
      <c r="B588" s="13"/>
      <c r="C588" s="13"/>
    </row>
    <row r="589" spans="1:3" ht="14" x14ac:dyDescent="0.3">
      <c r="A589" s="12"/>
      <c r="B589" s="13"/>
      <c r="C589" s="13"/>
    </row>
    <row r="590" spans="1:3" ht="14" x14ac:dyDescent="0.3">
      <c r="A590" s="12"/>
      <c r="B590" s="13"/>
      <c r="C590" s="13"/>
    </row>
    <row r="591" spans="1:3" ht="14" x14ac:dyDescent="0.3">
      <c r="A591" s="12"/>
      <c r="B591" s="13"/>
      <c r="C591" s="13"/>
    </row>
    <row r="592" spans="1:3" ht="14" x14ac:dyDescent="0.3">
      <c r="A592" s="12"/>
      <c r="B592" s="13"/>
      <c r="C592" s="13"/>
    </row>
    <row r="593" spans="1:3" ht="14" x14ac:dyDescent="0.3">
      <c r="A593" s="12"/>
      <c r="B593" s="13"/>
      <c r="C593" s="13"/>
    </row>
    <row r="594" spans="1:3" ht="14" x14ac:dyDescent="0.3">
      <c r="A594" s="12"/>
      <c r="B594" s="13"/>
      <c r="C594" s="13"/>
    </row>
    <row r="595" spans="1:3" ht="14" x14ac:dyDescent="0.3">
      <c r="A595" s="12"/>
      <c r="B595" s="13"/>
      <c r="C595" s="13"/>
    </row>
    <row r="596" spans="1:3" ht="14" x14ac:dyDescent="0.3">
      <c r="A596" s="12"/>
      <c r="B596" s="13"/>
      <c r="C596" s="13"/>
    </row>
    <row r="597" spans="1:3" ht="14" x14ac:dyDescent="0.3">
      <c r="A597" s="12"/>
      <c r="B597" s="13"/>
      <c r="C597" s="13"/>
    </row>
    <row r="598" spans="1:3" ht="14" x14ac:dyDescent="0.3">
      <c r="A598" s="12"/>
      <c r="B598" s="13"/>
      <c r="C598" s="13"/>
    </row>
    <row r="599" spans="1:3" ht="14" x14ac:dyDescent="0.3">
      <c r="A599" s="12"/>
      <c r="B599" s="13"/>
      <c r="C599" s="13"/>
    </row>
    <row r="600" spans="1:3" ht="14" x14ac:dyDescent="0.3">
      <c r="A600" s="12"/>
      <c r="B600" s="13"/>
      <c r="C600" s="13"/>
    </row>
    <row r="601" spans="1:3" ht="14" x14ac:dyDescent="0.3">
      <c r="A601" s="12"/>
      <c r="B601" s="13"/>
      <c r="C601" s="13"/>
    </row>
    <row r="602" spans="1:3" ht="14" x14ac:dyDescent="0.3">
      <c r="A602" s="12"/>
      <c r="B602" s="15"/>
      <c r="C602" s="15"/>
    </row>
    <row r="603" spans="1:3" ht="14" x14ac:dyDescent="0.3">
      <c r="A603" s="12"/>
      <c r="B603" s="13"/>
      <c r="C603" s="13"/>
    </row>
    <row r="604" spans="1:3" ht="14" x14ac:dyDescent="0.3">
      <c r="A604" s="12"/>
      <c r="B604" s="13"/>
      <c r="C604" s="13"/>
    </row>
    <row r="605" spans="1:3" ht="14" x14ac:dyDescent="0.3">
      <c r="A605" s="12"/>
      <c r="B605" s="13"/>
      <c r="C605" s="13"/>
    </row>
    <row r="606" spans="1:3" ht="14" x14ac:dyDescent="0.3">
      <c r="A606" s="12"/>
      <c r="B606" s="13"/>
      <c r="C606" s="13"/>
    </row>
    <row r="607" spans="1:3" ht="14" x14ac:dyDescent="0.3">
      <c r="A607" s="12"/>
      <c r="B607" s="13"/>
      <c r="C607" s="13"/>
    </row>
    <row r="608" spans="1:3" ht="14" x14ac:dyDescent="0.3">
      <c r="A608" s="12"/>
      <c r="B608" s="13"/>
      <c r="C608" s="13"/>
    </row>
    <row r="609" spans="1:3" ht="14" x14ac:dyDescent="0.3">
      <c r="A609" s="12"/>
      <c r="B609" s="13"/>
      <c r="C609" s="13"/>
    </row>
    <row r="610" spans="1:3" ht="14" x14ac:dyDescent="0.3">
      <c r="A610" s="12"/>
      <c r="B610" s="13"/>
      <c r="C610" s="13"/>
    </row>
    <row r="611" spans="1:3" ht="14" x14ac:dyDescent="0.3">
      <c r="A611" s="12"/>
      <c r="B611" s="13"/>
      <c r="C611" s="13"/>
    </row>
    <row r="612" spans="1:3" ht="14" x14ac:dyDescent="0.3">
      <c r="A612" s="12"/>
      <c r="B612" s="13"/>
      <c r="C612" s="13"/>
    </row>
    <row r="613" spans="1:3" ht="14" x14ac:dyDescent="0.3">
      <c r="A613" s="12"/>
      <c r="B613" s="13"/>
      <c r="C613" s="13"/>
    </row>
    <row r="614" spans="1:3" ht="14" x14ac:dyDescent="0.3">
      <c r="A614" s="12"/>
      <c r="B614" s="13"/>
      <c r="C614" s="13"/>
    </row>
    <row r="615" spans="1:3" ht="14" x14ac:dyDescent="0.3">
      <c r="A615" s="12"/>
      <c r="B615" s="13"/>
      <c r="C615" s="13"/>
    </row>
    <row r="616" spans="1:3" ht="14" x14ac:dyDescent="0.3">
      <c r="A616" s="12"/>
      <c r="B616" s="13"/>
      <c r="C616" s="13"/>
    </row>
    <row r="617" spans="1:3" ht="14" x14ac:dyDescent="0.3">
      <c r="A617" s="12"/>
      <c r="B617" s="13"/>
      <c r="C617" s="13"/>
    </row>
    <row r="618" spans="1:3" ht="14" x14ac:dyDescent="0.3">
      <c r="A618" s="12"/>
      <c r="B618" s="13"/>
      <c r="C618" s="13"/>
    </row>
    <row r="619" spans="1:3" ht="14" x14ac:dyDescent="0.3">
      <c r="A619" s="12"/>
      <c r="B619" s="13"/>
      <c r="C619" s="13"/>
    </row>
    <row r="620" spans="1:3" ht="14" x14ac:dyDescent="0.3">
      <c r="A620" s="12"/>
      <c r="B620" s="13"/>
      <c r="C620" s="13"/>
    </row>
    <row r="621" spans="1:3" ht="14" x14ac:dyDescent="0.3">
      <c r="A621" s="12"/>
      <c r="B621" s="13"/>
      <c r="C621" s="13"/>
    </row>
    <row r="622" spans="1:3" ht="14" x14ac:dyDescent="0.3">
      <c r="A622" s="12"/>
      <c r="B622" s="13"/>
      <c r="C622" s="13"/>
    </row>
    <row r="623" spans="1:3" ht="14" x14ac:dyDescent="0.3">
      <c r="A623" s="12"/>
      <c r="B623" s="13"/>
      <c r="C623" s="13"/>
    </row>
    <row r="624" spans="1:3" ht="14" x14ac:dyDescent="0.3">
      <c r="A624" s="12"/>
      <c r="B624" s="13"/>
      <c r="C624" s="13"/>
    </row>
    <row r="625" spans="1:3" ht="14" x14ac:dyDescent="0.3">
      <c r="A625" s="12"/>
      <c r="B625" s="13"/>
      <c r="C625" s="13"/>
    </row>
    <row r="626" spans="1:3" ht="14" x14ac:dyDescent="0.3">
      <c r="A626" s="12"/>
      <c r="B626" s="15"/>
      <c r="C626" s="15"/>
    </row>
    <row r="627" spans="1:3" ht="14" x14ac:dyDescent="0.3">
      <c r="A627" s="12"/>
      <c r="B627" s="13"/>
      <c r="C627" s="13"/>
    </row>
    <row r="628" spans="1:3" ht="14" x14ac:dyDescent="0.3">
      <c r="A628" s="12"/>
      <c r="B628" s="13"/>
      <c r="C628" s="13"/>
    </row>
    <row r="629" spans="1:3" ht="14" x14ac:dyDescent="0.3">
      <c r="A629" s="12"/>
      <c r="B629" s="13"/>
      <c r="C629" s="13"/>
    </row>
    <row r="630" spans="1:3" ht="14" x14ac:dyDescent="0.3">
      <c r="A630" s="12"/>
      <c r="B630" s="13"/>
      <c r="C630" s="13"/>
    </row>
    <row r="631" spans="1:3" ht="14" x14ac:dyDescent="0.3">
      <c r="A631" s="12"/>
      <c r="B631" s="13"/>
      <c r="C631" s="13"/>
    </row>
    <row r="632" spans="1:3" ht="14" x14ac:dyDescent="0.3">
      <c r="A632" s="12"/>
      <c r="B632" s="13"/>
      <c r="C632" s="13"/>
    </row>
    <row r="633" spans="1:3" ht="14" x14ac:dyDescent="0.3">
      <c r="A633" s="12"/>
      <c r="B633" s="13"/>
      <c r="C633" s="13"/>
    </row>
    <row r="634" spans="1:3" ht="14" x14ac:dyDescent="0.3">
      <c r="A634" s="12"/>
      <c r="B634" s="13"/>
      <c r="C634" s="13"/>
    </row>
    <row r="635" spans="1:3" ht="14" x14ac:dyDescent="0.3">
      <c r="A635" s="12"/>
      <c r="B635" s="13"/>
      <c r="C635" s="13"/>
    </row>
    <row r="636" spans="1:3" ht="14" x14ac:dyDescent="0.3">
      <c r="A636" s="12"/>
      <c r="B636" s="13"/>
      <c r="C636" s="13"/>
    </row>
    <row r="637" spans="1:3" ht="14" x14ac:dyDescent="0.3">
      <c r="A637" s="12"/>
      <c r="B637" s="13"/>
      <c r="C637" s="13"/>
    </row>
    <row r="638" spans="1:3" ht="14" x14ac:dyDescent="0.3">
      <c r="A638" s="12"/>
      <c r="B638" s="13"/>
      <c r="C638" s="13"/>
    </row>
    <row r="639" spans="1:3" ht="14" x14ac:dyDescent="0.3">
      <c r="A639" s="12"/>
      <c r="B639" s="13"/>
      <c r="C639" s="13"/>
    </row>
    <row r="640" spans="1:3" ht="14" x14ac:dyDescent="0.3">
      <c r="A640" s="12"/>
      <c r="B640" s="13"/>
      <c r="C640" s="13"/>
    </row>
    <row r="641" spans="1:3" ht="14" x14ac:dyDescent="0.3">
      <c r="A641" s="12"/>
      <c r="B641" s="13"/>
      <c r="C641" s="13"/>
    </row>
    <row r="642" spans="1:3" ht="14" x14ac:dyDescent="0.3">
      <c r="A642" s="12"/>
      <c r="B642" s="13"/>
      <c r="C642" s="13"/>
    </row>
    <row r="643" spans="1:3" ht="14" x14ac:dyDescent="0.3">
      <c r="A643" s="12"/>
      <c r="B643" s="13"/>
      <c r="C643" s="13"/>
    </row>
    <row r="644" spans="1:3" ht="14" x14ac:dyDescent="0.3">
      <c r="A644" s="12"/>
      <c r="B644" s="13"/>
      <c r="C644" s="13"/>
    </row>
    <row r="645" spans="1:3" ht="14" x14ac:dyDescent="0.3">
      <c r="A645" s="12"/>
      <c r="B645" s="13"/>
      <c r="C645" s="13"/>
    </row>
    <row r="646" spans="1:3" ht="14" x14ac:dyDescent="0.3">
      <c r="A646" s="12"/>
      <c r="B646" s="13"/>
      <c r="C646" s="13"/>
    </row>
    <row r="647" spans="1:3" ht="14" x14ac:dyDescent="0.3">
      <c r="A647" s="12"/>
      <c r="B647" s="13"/>
      <c r="C647" s="13"/>
    </row>
    <row r="648" spans="1:3" ht="14" x14ac:dyDescent="0.3">
      <c r="A648" s="12"/>
      <c r="B648" s="13"/>
      <c r="C648" s="13"/>
    </row>
    <row r="649" spans="1:3" ht="14" x14ac:dyDescent="0.3">
      <c r="A649" s="12"/>
      <c r="B649" s="13"/>
      <c r="C649" s="13"/>
    </row>
    <row r="650" spans="1:3" ht="14" x14ac:dyDescent="0.3">
      <c r="A650" s="12"/>
      <c r="B650" s="15"/>
      <c r="C650" s="15"/>
    </row>
    <row r="651" spans="1:3" ht="14" x14ac:dyDescent="0.3">
      <c r="A651" s="12"/>
      <c r="B651" s="13"/>
      <c r="C651" s="13"/>
    </row>
    <row r="652" spans="1:3" ht="14" x14ac:dyDescent="0.3">
      <c r="A652" s="12"/>
      <c r="B652" s="13"/>
      <c r="C652" s="13"/>
    </row>
    <row r="653" spans="1:3" ht="14" x14ac:dyDescent="0.3">
      <c r="A653" s="12"/>
      <c r="B653" s="13"/>
      <c r="C653" s="13"/>
    </row>
    <row r="654" spans="1:3" ht="14" x14ac:dyDescent="0.3">
      <c r="A654" s="12"/>
      <c r="B654" s="13"/>
      <c r="C654" s="13"/>
    </row>
    <row r="655" spans="1:3" ht="14" x14ac:dyDescent="0.3">
      <c r="A655" s="12"/>
      <c r="B655" s="13"/>
      <c r="C655" s="13"/>
    </row>
    <row r="656" spans="1:3" ht="14" x14ac:dyDescent="0.3">
      <c r="A656" s="12"/>
      <c r="B656" s="13"/>
      <c r="C656" s="13"/>
    </row>
    <row r="657" spans="1:3" ht="14" x14ac:dyDescent="0.3">
      <c r="A657" s="12"/>
      <c r="B657" s="13"/>
      <c r="C657" s="13"/>
    </row>
    <row r="658" spans="1:3" ht="14" x14ac:dyDescent="0.3">
      <c r="A658" s="12"/>
      <c r="B658" s="13"/>
      <c r="C658" s="13"/>
    </row>
    <row r="659" spans="1:3" ht="14" x14ac:dyDescent="0.3">
      <c r="A659" s="12"/>
      <c r="B659" s="13"/>
      <c r="C659" s="13"/>
    </row>
    <row r="660" spans="1:3" ht="14" x14ac:dyDescent="0.3">
      <c r="A660" s="12"/>
      <c r="B660" s="13"/>
      <c r="C660" s="13"/>
    </row>
    <row r="661" spans="1:3" ht="14" x14ac:dyDescent="0.3">
      <c r="A661" s="12"/>
      <c r="B661" s="13"/>
      <c r="C661" s="13"/>
    </row>
    <row r="662" spans="1:3" ht="14" x14ac:dyDescent="0.3">
      <c r="A662" s="12"/>
      <c r="B662" s="13"/>
      <c r="C662" s="13"/>
    </row>
    <row r="663" spans="1:3" ht="14" x14ac:dyDescent="0.3">
      <c r="A663" s="12"/>
      <c r="B663" s="13"/>
      <c r="C663" s="13"/>
    </row>
    <row r="664" spans="1:3" ht="14" x14ac:dyDescent="0.3">
      <c r="A664" s="12"/>
      <c r="B664" s="13"/>
      <c r="C664" s="13"/>
    </row>
    <row r="665" spans="1:3" ht="14" x14ac:dyDescent="0.3">
      <c r="A665" s="12"/>
      <c r="B665" s="13"/>
      <c r="C665" s="13"/>
    </row>
    <row r="666" spans="1:3" ht="14" x14ac:dyDescent="0.3">
      <c r="A666" s="12"/>
      <c r="B666" s="13"/>
      <c r="C666" s="13"/>
    </row>
    <row r="667" spans="1:3" ht="14" x14ac:dyDescent="0.3">
      <c r="A667" s="12"/>
      <c r="B667" s="13"/>
      <c r="C667" s="13"/>
    </row>
    <row r="668" spans="1:3" ht="14" x14ac:dyDescent="0.3">
      <c r="A668" s="12"/>
      <c r="B668" s="13"/>
      <c r="C668" s="13"/>
    </row>
    <row r="669" spans="1:3" ht="14" x14ac:dyDescent="0.3">
      <c r="A669" s="12"/>
      <c r="B669" s="13"/>
      <c r="C669" s="13"/>
    </row>
    <row r="670" spans="1:3" ht="14" x14ac:dyDescent="0.3">
      <c r="A670" s="12"/>
      <c r="B670" s="13"/>
      <c r="C670" s="13"/>
    </row>
    <row r="671" spans="1:3" ht="14" x14ac:dyDescent="0.3">
      <c r="A671" s="12"/>
      <c r="B671" s="13"/>
      <c r="C671" s="13"/>
    </row>
    <row r="672" spans="1:3" ht="14" x14ac:dyDescent="0.3">
      <c r="A672" s="12"/>
      <c r="B672" s="13"/>
      <c r="C672" s="13"/>
    </row>
    <row r="673" spans="1:3" ht="14" x14ac:dyDescent="0.3">
      <c r="A673" s="12"/>
      <c r="B673" s="13"/>
      <c r="C673" s="13"/>
    </row>
    <row r="674" spans="1:3" ht="14" x14ac:dyDescent="0.3">
      <c r="A674" s="12"/>
      <c r="B674" s="15"/>
      <c r="C674" s="15"/>
    </row>
    <row r="675" spans="1:3" ht="14" x14ac:dyDescent="0.3">
      <c r="A675" s="12"/>
      <c r="B675" s="13"/>
      <c r="C675" s="13"/>
    </row>
    <row r="676" spans="1:3" ht="14" x14ac:dyDescent="0.3">
      <c r="A676" s="12"/>
      <c r="B676" s="13"/>
      <c r="C676" s="13"/>
    </row>
    <row r="677" spans="1:3" ht="14" x14ac:dyDescent="0.3">
      <c r="A677" s="12"/>
      <c r="B677" s="13"/>
      <c r="C677" s="13"/>
    </row>
    <row r="678" spans="1:3" ht="14" x14ac:dyDescent="0.3">
      <c r="A678" s="12"/>
      <c r="B678" s="13"/>
      <c r="C678" s="13"/>
    </row>
    <row r="679" spans="1:3" ht="14" x14ac:dyDescent="0.3">
      <c r="A679" s="12"/>
      <c r="B679" s="13"/>
      <c r="C679" s="13"/>
    </row>
    <row r="680" spans="1:3" ht="14" x14ac:dyDescent="0.3">
      <c r="A680" s="12"/>
      <c r="B680" s="13"/>
      <c r="C680" s="13"/>
    </row>
    <row r="681" spans="1:3" ht="14" x14ac:dyDescent="0.3">
      <c r="A681" s="12"/>
      <c r="B681" s="13"/>
      <c r="C681" s="13"/>
    </row>
    <row r="682" spans="1:3" ht="14" x14ac:dyDescent="0.3">
      <c r="A682" s="12"/>
      <c r="B682" s="13"/>
      <c r="C682" s="13"/>
    </row>
    <row r="683" spans="1:3" ht="14" x14ac:dyDescent="0.3">
      <c r="A683" s="12"/>
      <c r="B683" s="13"/>
      <c r="C683" s="13"/>
    </row>
    <row r="684" spans="1:3" ht="14" x14ac:dyDescent="0.3">
      <c r="A684" s="12"/>
      <c r="B684" s="13"/>
      <c r="C684" s="13"/>
    </row>
    <row r="685" spans="1:3" ht="14" x14ac:dyDescent="0.3">
      <c r="A685" s="12"/>
      <c r="B685" s="13"/>
      <c r="C685" s="13"/>
    </row>
    <row r="686" spans="1:3" ht="14" x14ac:dyDescent="0.3">
      <c r="A686" s="12"/>
      <c r="B686" s="13"/>
      <c r="C686" s="13"/>
    </row>
    <row r="687" spans="1:3" ht="14" x14ac:dyDescent="0.3">
      <c r="A687" s="12"/>
      <c r="B687" s="13"/>
      <c r="C687" s="13"/>
    </row>
    <row r="688" spans="1:3" ht="14" x14ac:dyDescent="0.3">
      <c r="A688" s="12"/>
      <c r="B688" s="13"/>
      <c r="C688" s="13"/>
    </row>
    <row r="689" spans="1:3" ht="14" x14ac:dyDescent="0.3">
      <c r="A689" s="12"/>
      <c r="B689" s="13"/>
      <c r="C689" s="13"/>
    </row>
    <row r="690" spans="1:3" ht="14" x14ac:dyDescent="0.3">
      <c r="A690" s="12"/>
      <c r="B690" s="13"/>
      <c r="C690" s="13"/>
    </row>
    <row r="691" spans="1:3" ht="14" x14ac:dyDescent="0.3">
      <c r="A691" s="12"/>
      <c r="B691" s="13"/>
      <c r="C691" s="13"/>
    </row>
    <row r="692" spans="1:3" ht="14" x14ac:dyDescent="0.3">
      <c r="A692" s="12"/>
      <c r="B692" s="13"/>
      <c r="C692" s="13"/>
    </row>
    <row r="693" spans="1:3" ht="14" x14ac:dyDescent="0.3">
      <c r="A693" s="12"/>
      <c r="B693" s="13"/>
      <c r="C693" s="13"/>
    </row>
    <row r="694" spans="1:3" ht="14" x14ac:dyDescent="0.3">
      <c r="A694" s="12"/>
      <c r="B694" s="13"/>
      <c r="C694" s="13"/>
    </row>
    <row r="695" spans="1:3" ht="14" x14ac:dyDescent="0.3">
      <c r="A695" s="12"/>
      <c r="B695" s="13"/>
      <c r="C695" s="13"/>
    </row>
    <row r="696" spans="1:3" ht="14" x14ac:dyDescent="0.3">
      <c r="A696" s="12"/>
      <c r="B696" s="13"/>
      <c r="C696" s="13"/>
    </row>
    <row r="697" spans="1:3" ht="14" x14ac:dyDescent="0.3">
      <c r="A697" s="12"/>
      <c r="B697" s="13"/>
      <c r="C697" s="13"/>
    </row>
    <row r="698" spans="1:3" ht="14" x14ac:dyDescent="0.3">
      <c r="A698" s="12"/>
      <c r="B698" s="15"/>
      <c r="C698" s="15"/>
    </row>
    <row r="699" spans="1:3" ht="14" x14ac:dyDescent="0.3">
      <c r="A699" s="12"/>
      <c r="B699" s="13"/>
      <c r="C699" s="13"/>
    </row>
    <row r="700" spans="1:3" ht="14" x14ac:dyDescent="0.3">
      <c r="A700" s="12"/>
      <c r="B700" s="13"/>
      <c r="C700" s="13"/>
    </row>
    <row r="701" spans="1:3" ht="14" x14ac:dyDescent="0.3">
      <c r="A701" s="12"/>
      <c r="B701" s="13"/>
      <c r="C701" s="13"/>
    </row>
    <row r="702" spans="1:3" ht="14" x14ac:dyDescent="0.3">
      <c r="A702" s="12"/>
      <c r="B702" s="13"/>
      <c r="C702" s="13"/>
    </row>
    <row r="703" spans="1:3" ht="14" x14ac:dyDescent="0.3">
      <c r="A703" s="12"/>
      <c r="B703" s="13"/>
      <c r="C703" s="13"/>
    </row>
    <row r="704" spans="1:3" ht="14" x14ac:dyDescent="0.3">
      <c r="A704" s="12"/>
      <c r="B704" s="13"/>
      <c r="C704" s="13"/>
    </row>
    <row r="705" spans="1:3" ht="14" x14ac:dyDescent="0.3">
      <c r="A705" s="12"/>
      <c r="B705" s="13"/>
      <c r="C705" s="13"/>
    </row>
    <row r="706" spans="1:3" ht="14" x14ac:dyDescent="0.3">
      <c r="A706" s="12"/>
      <c r="B706" s="13"/>
      <c r="C706" s="13"/>
    </row>
    <row r="707" spans="1:3" ht="14" x14ac:dyDescent="0.3">
      <c r="A707" s="12"/>
      <c r="B707" s="13"/>
      <c r="C707" s="13"/>
    </row>
    <row r="708" spans="1:3" ht="14" x14ac:dyDescent="0.3">
      <c r="A708" s="12"/>
      <c r="B708" s="13"/>
      <c r="C708" s="13"/>
    </row>
    <row r="709" spans="1:3" ht="14" x14ac:dyDescent="0.3">
      <c r="A709" s="12"/>
      <c r="B709" s="13"/>
      <c r="C709" s="13"/>
    </row>
    <row r="710" spans="1:3" ht="14" x14ac:dyDescent="0.3">
      <c r="A710" s="12"/>
      <c r="B710" s="13"/>
      <c r="C710" s="13"/>
    </row>
    <row r="711" spans="1:3" ht="14" x14ac:dyDescent="0.3">
      <c r="A711" s="12"/>
      <c r="B711" s="13"/>
      <c r="C711" s="13"/>
    </row>
    <row r="712" spans="1:3" ht="14" x14ac:dyDescent="0.3">
      <c r="A712" s="12"/>
      <c r="B712" s="13"/>
      <c r="C712" s="13"/>
    </row>
    <row r="713" spans="1:3" ht="14" x14ac:dyDescent="0.3">
      <c r="A713" s="12"/>
      <c r="B713" s="13"/>
      <c r="C713" s="13"/>
    </row>
    <row r="714" spans="1:3" ht="14" x14ac:dyDescent="0.3">
      <c r="A714" s="12"/>
      <c r="B714" s="13"/>
      <c r="C714" s="13"/>
    </row>
    <row r="715" spans="1:3" ht="14" x14ac:dyDescent="0.3">
      <c r="A715" s="12"/>
      <c r="B715" s="13"/>
      <c r="C715" s="13"/>
    </row>
    <row r="716" spans="1:3" ht="14" x14ac:dyDescent="0.3">
      <c r="A716" s="12"/>
      <c r="B716" s="13"/>
      <c r="C716" s="13"/>
    </row>
    <row r="717" spans="1:3" ht="14" x14ac:dyDescent="0.3">
      <c r="A717" s="12"/>
      <c r="B717" s="13"/>
      <c r="C717" s="13"/>
    </row>
    <row r="718" spans="1:3" ht="14" x14ac:dyDescent="0.3">
      <c r="A718" s="12"/>
      <c r="B718" s="13"/>
      <c r="C718" s="13"/>
    </row>
    <row r="719" spans="1:3" ht="14" x14ac:dyDescent="0.3">
      <c r="A719" s="12"/>
      <c r="B719" s="13"/>
      <c r="C719" s="13"/>
    </row>
    <row r="720" spans="1:3" ht="14" x14ac:dyDescent="0.3">
      <c r="A720" s="12"/>
      <c r="B720" s="13"/>
      <c r="C720" s="13"/>
    </row>
    <row r="721" spans="1:3" ht="14" x14ac:dyDescent="0.3">
      <c r="A721" s="12"/>
      <c r="B721" s="13"/>
      <c r="C721" s="13"/>
    </row>
    <row r="722" spans="1:3" ht="14" x14ac:dyDescent="0.3">
      <c r="A722" s="12"/>
      <c r="B722" s="15"/>
      <c r="C722" s="15"/>
    </row>
    <row r="723" spans="1:3" ht="14" x14ac:dyDescent="0.3">
      <c r="A723" s="12"/>
      <c r="B723" s="13"/>
      <c r="C723" s="13"/>
    </row>
    <row r="724" spans="1:3" ht="14" x14ac:dyDescent="0.3">
      <c r="A724" s="12"/>
      <c r="B724" s="13"/>
      <c r="C724" s="13"/>
    </row>
    <row r="725" spans="1:3" ht="14" x14ac:dyDescent="0.3">
      <c r="A725" s="12"/>
      <c r="B725" s="13"/>
      <c r="C725" s="13"/>
    </row>
    <row r="726" spans="1:3" ht="14" x14ac:dyDescent="0.3">
      <c r="A726" s="12"/>
      <c r="B726" s="13"/>
      <c r="C726" s="13"/>
    </row>
    <row r="727" spans="1:3" ht="14" x14ac:dyDescent="0.3">
      <c r="A727" s="12"/>
      <c r="B727" s="13"/>
      <c r="C727" s="13"/>
    </row>
    <row r="728" spans="1:3" ht="14" x14ac:dyDescent="0.3">
      <c r="A728" s="12"/>
      <c r="B728" s="13"/>
      <c r="C728" s="13"/>
    </row>
    <row r="729" spans="1:3" ht="14" x14ac:dyDescent="0.3">
      <c r="A729" s="12"/>
      <c r="B729" s="13"/>
      <c r="C729" s="13"/>
    </row>
    <row r="730" spans="1:3" ht="14" x14ac:dyDescent="0.3">
      <c r="A730" s="12"/>
      <c r="B730" s="13"/>
      <c r="C730" s="13"/>
    </row>
    <row r="731" spans="1:3" ht="14" x14ac:dyDescent="0.3">
      <c r="A731" s="12"/>
      <c r="B731" s="13"/>
      <c r="C731" s="13"/>
    </row>
    <row r="732" spans="1:3" ht="14" x14ac:dyDescent="0.3">
      <c r="A732" s="12"/>
      <c r="B732" s="13"/>
      <c r="C732" s="13"/>
    </row>
    <row r="733" spans="1:3" ht="14" x14ac:dyDescent="0.3">
      <c r="A733" s="12"/>
      <c r="B733" s="13"/>
      <c r="C733" s="13"/>
    </row>
    <row r="734" spans="1:3" ht="14" x14ac:dyDescent="0.3">
      <c r="A734" s="12"/>
      <c r="B734" s="13"/>
      <c r="C734" s="13"/>
    </row>
    <row r="735" spans="1:3" ht="14" x14ac:dyDescent="0.3">
      <c r="A735" s="12"/>
      <c r="B735" s="13"/>
      <c r="C735" s="13"/>
    </row>
    <row r="736" spans="1:3" ht="14" x14ac:dyDescent="0.3">
      <c r="A736" s="12"/>
      <c r="B736" s="13"/>
      <c r="C736" s="13"/>
    </row>
    <row r="737" spans="1:3" ht="14" x14ac:dyDescent="0.3">
      <c r="A737" s="12"/>
      <c r="B737" s="13"/>
      <c r="C737" s="13"/>
    </row>
    <row r="738" spans="1:3" ht="14" x14ac:dyDescent="0.3">
      <c r="A738" s="12"/>
      <c r="B738" s="13"/>
      <c r="C738" s="13"/>
    </row>
    <row r="739" spans="1:3" ht="14" x14ac:dyDescent="0.3">
      <c r="A739" s="12"/>
      <c r="B739" s="13"/>
      <c r="C739" s="13"/>
    </row>
    <row r="740" spans="1:3" ht="14" x14ac:dyDescent="0.3">
      <c r="A740" s="12"/>
      <c r="B740" s="13"/>
      <c r="C740" s="13"/>
    </row>
    <row r="741" spans="1:3" ht="14" x14ac:dyDescent="0.3">
      <c r="A741" s="12"/>
      <c r="B741" s="13"/>
      <c r="C741" s="13"/>
    </row>
    <row r="742" spans="1:3" ht="14" x14ac:dyDescent="0.3">
      <c r="A742" s="12"/>
      <c r="B742" s="13"/>
      <c r="C742" s="13"/>
    </row>
    <row r="743" spans="1:3" ht="14" x14ac:dyDescent="0.3">
      <c r="A743" s="12"/>
      <c r="B743" s="13"/>
      <c r="C743" s="13"/>
    </row>
    <row r="744" spans="1:3" ht="14" x14ac:dyDescent="0.3">
      <c r="A744" s="12"/>
      <c r="B744" s="13"/>
      <c r="C744" s="13"/>
    </row>
    <row r="745" spans="1:3" ht="14" x14ac:dyDescent="0.3">
      <c r="A745" s="12"/>
      <c r="B745" s="13"/>
      <c r="C745" s="13"/>
    </row>
    <row r="746" spans="1:3" ht="14" x14ac:dyDescent="0.3">
      <c r="A746" s="12"/>
      <c r="B746" s="15"/>
      <c r="C746" s="15"/>
    </row>
    <row r="747" spans="1:3" ht="14" x14ac:dyDescent="0.3">
      <c r="A747" s="12"/>
      <c r="B747" s="13"/>
      <c r="C747" s="13"/>
    </row>
    <row r="748" spans="1:3" ht="14" x14ac:dyDescent="0.3">
      <c r="A748" s="12"/>
      <c r="B748" s="13"/>
      <c r="C748" s="13"/>
    </row>
    <row r="749" spans="1:3" ht="14" x14ac:dyDescent="0.3">
      <c r="A749" s="12"/>
      <c r="B749" s="13"/>
      <c r="C749" s="13"/>
    </row>
    <row r="750" spans="1:3" ht="14" x14ac:dyDescent="0.3">
      <c r="A750" s="12"/>
      <c r="B750" s="13"/>
      <c r="C750" s="13"/>
    </row>
    <row r="751" spans="1:3" ht="14" x14ac:dyDescent="0.3">
      <c r="A751" s="12"/>
      <c r="B751" s="13"/>
      <c r="C751" s="13"/>
    </row>
    <row r="752" spans="1:3" ht="14" x14ac:dyDescent="0.3">
      <c r="A752" s="12"/>
      <c r="B752" s="13"/>
      <c r="C752" s="13"/>
    </row>
    <row r="753" spans="1:3" ht="14" x14ac:dyDescent="0.3">
      <c r="A753" s="12"/>
      <c r="B753" s="13"/>
      <c r="C753" s="13"/>
    </row>
    <row r="754" spans="1:3" ht="14" x14ac:dyDescent="0.3">
      <c r="A754" s="12"/>
      <c r="B754" s="13"/>
      <c r="C754" s="13"/>
    </row>
    <row r="755" spans="1:3" ht="14" x14ac:dyDescent="0.3">
      <c r="A755" s="12"/>
      <c r="B755" s="13"/>
      <c r="C755" s="13"/>
    </row>
    <row r="756" spans="1:3" ht="14" x14ac:dyDescent="0.3">
      <c r="A756" s="12"/>
      <c r="B756" s="13"/>
      <c r="C756" s="13"/>
    </row>
    <row r="757" spans="1:3" ht="14" x14ac:dyDescent="0.3">
      <c r="A757" s="12"/>
      <c r="B757" s="13"/>
      <c r="C757" s="13"/>
    </row>
    <row r="758" spans="1:3" ht="14" x14ac:dyDescent="0.3">
      <c r="A758" s="12"/>
      <c r="B758" s="13"/>
      <c r="C758" s="13"/>
    </row>
    <row r="759" spans="1:3" ht="14" x14ac:dyDescent="0.3">
      <c r="A759" s="12"/>
      <c r="B759" s="13"/>
      <c r="C759" s="13"/>
    </row>
    <row r="760" spans="1:3" ht="14" x14ac:dyDescent="0.3">
      <c r="A760" s="12"/>
      <c r="B760" s="13"/>
      <c r="C760" s="13"/>
    </row>
    <row r="761" spans="1:3" ht="14" x14ac:dyDescent="0.3">
      <c r="A761" s="12"/>
      <c r="B761" s="13"/>
      <c r="C761" s="13"/>
    </row>
    <row r="762" spans="1:3" ht="14" x14ac:dyDescent="0.3">
      <c r="A762" s="12"/>
      <c r="B762" s="13"/>
      <c r="C762" s="13"/>
    </row>
    <row r="763" spans="1:3" ht="14" x14ac:dyDescent="0.3">
      <c r="A763" s="12"/>
      <c r="B763" s="13"/>
      <c r="C763" s="13"/>
    </row>
    <row r="764" spans="1:3" ht="14" x14ac:dyDescent="0.3">
      <c r="A764" s="12"/>
      <c r="B764" s="13"/>
      <c r="C764" s="13"/>
    </row>
    <row r="765" spans="1:3" ht="14" x14ac:dyDescent="0.3">
      <c r="A765" s="12"/>
      <c r="B765" s="13"/>
      <c r="C765" s="13"/>
    </row>
    <row r="766" spans="1:3" ht="14" x14ac:dyDescent="0.3">
      <c r="A766" s="12"/>
      <c r="B766" s="13"/>
      <c r="C766" s="13"/>
    </row>
    <row r="767" spans="1:3" ht="14" x14ac:dyDescent="0.3">
      <c r="A767" s="12"/>
      <c r="B767" s="13"/>
      <c r="C767" s="13"/>
    </row>
    <row r="768" spans="1:3" ht="14" x14ac:dyDescent="0.3">
      <c r="A768" s="12"/>
      <c r="B768" s="13"/>
      <c r="C768" s="13"/>
    </row>
    <row r="769" spans="1:3" ht="14" x14ac:dyDescent="0.3">
      <c r="A769" s="12"/>
      <c r="B769" s="13"/>
      <c r="C769" s="13"/>
    </row>
    <row r="770" spans="1:3" ht="14" x14ac:dyDescent="0.3">
      <c r="A770" s="12"/>
      <c r="B770" s="15"/>
      <c r="C770" s="15"/>
    </row>
    <row r="771" spans="1:3" ht="14" x14ac:dyDescent="0.3">
      <c r="A771" s="12"/>
      <c r="B771" s="13"/>
      <c r="C771" s="13"/>
    </row>
    <row r="772" spans="1:3" ht="14" x14ac:dyDescent="0.3">
      <c r="A772" s="12"/>
      <c r="B772" s="13"/>
      <c r="C772" s="13"/>
    </row>
    <row r="773" spans="1:3" ht="14" x14ac:dyDescent="0.3">
      <c r="A773" s="12"/>
      <c r="B773" s="13"/>
      <c r="C773" s="13"/>
    </row>
    <row r="774" spans="1:3" ht="14" x14ac:dyDescent="0.3">
      <c r="A774" s="12"/>
      <c r="B774" s="13"/>
      <c r="C774" s="13"/>
    </row>
    <row r="775" spans="1:3" ht="14" x14ac:dyDescent="0.3">
      <c r="A775" s="12"/>
      <c r="B775" s="13"/>
      <c r="C775" s="13"/>
    </row>
    <row r="776" spans="1:3" ht="14" x14ac:dyDescent="0.3">
      <c r="A776" s="12"/>
      <c r="B776" s="13"/>
      <c r="C776" s="13"/>
    </row>
    <row r="777" spans="1:3" ht="14" x14ac:dyDescent="0.3">
      <c r="A777" s="12"/>
      <c r="B777" s="13"/>
      <c r="C777" s="13"/>
    </row>
    <row r="778" spans="1:3" ht="14" x14ac:dyDescent="0.3">
      <c r="A778" s="12"/>
      <c r="B778" s="13"/>
      <c r="C778" s="13"/>
    </row>
    <row r="779" spans="1:3" ht="14" x14ac:dyDescent="0.3">
      <c r="A779" s="12"/>
      <c r="B779" s="13"/>
      <c r="C779" s="13"/>
    </row>
    <row r="780" spans="1:3" ht="14" x14ac:dyDescent="0.3">
      <c r="A780" s="12"/>
      <c r="B780" s="13"/>
      <c r="C780" s="13"/>
    </row>
    <row r="781" spans="1:3" ht="14" x14ac:dyDescent="0.3">
      <c r="A781" s="12"/>
      <c r="B781" s="13"/>
      <c r="C781" s="13"/>
    </row>
    <row r="782" spans="1:3" ht="14" x14ac:dyDescent="0.3">
      <c r="A782" s="12"/>
      <c r="B782" s="13"/>
      <c r="C782" s="13"/>
    </row>
    <row r="783" spans="1:3" ht="14" x14ac:dyDescent="0.3">
      <c r="A783" s="12"/>
      <c r="B783" s="13"/>
      <c r="C783" s="13"/>
    </row>
    <row r="784" spans="1:3" ht="14" x14ac:dyDescent="0.3">
      <c r="A784" s="12"/>
      <c r="B784" s="13"/>
      <c r="C784" s="13"/>
    </row>
    <row r="785" spans="1:3" ht="14" x14ac:dyDescent="0.3">
      <c r="A785" s="12"/>
      <c r="B785" s="13"/>
      <c r="C785" s="13"/>
    </row>
    <row r="786" spans="1:3" ht="14" x14ac:dyDescent="0.3">
      <c r="A786" s="12"/>
      <c r="B786" s="13"/>
      <c r="C786" s="13"/>
    </row>
    <row r="787" spans="1:3" ht="14" x14ac:dyDescent="0.3">
      <c r="A787" s="12"/>
      <c r="B787" s="13"/>
      <c r="C787" s="13"/>
    </row>
    <row r="788" spans="1:3" ht="14" x14ac:dyDescent="0.3">
      <c r="A788" s="12"/>
      <c r="B788" s="13"/>
      <c r="C788" s="13"/>
    </row>
    <row r="789" spans="1:3" ht="14" x14ac:dyDescent="0.3">
      <c r="A789" s="12"/>
      <c r="B789" s="13"/>
      <c r="C789" s="13"/>
    </row>
    <row r="790" spans="1:3" ht="14" x14ac:dyDescent="0.3">
      <c r="A790" s="12"/>
      <c r="B790" s="13"/>
      <c r="C790" s="13"/>
    </row>
    <row r="791" spans="1:3" ht="14" x14ac:dyDescent="0.3">
      <c r="A791" s="12"/>
      <c r="B791" s="13"/>
      <c r="C791" s="13"/>
    </row>
    <row r="792" spans="1:3" ht="14" x14ac:dyDescent="0.3">
      <c r="A792" s="12"/>
      <c r="B792" s="13"/>
      <c r="C792" s="13"/>
    </row>
    <row r="793" spans="1:3" ht="14" x14ac:dyDescent="0.3">
      <c r="A793" s="12"/>
      <c r="B793" s="13"/>
      <c r="C793" s="13"/>
    </row>
    <row r="794" spans="1:3" ht="14" x14ac:dyDescent="0.3">
      <c r="A794" s="12"/>
      <c r="B794" s="15"/>
      <c r="C794" s="15"/>
    </row>
    <row r="795" spans="1:3" ht="14" x14ac:dyDescent="0.3">
      <c r="A795" s="12"/>
      <c r="B795" s="13"/>
      <c r="C795" s="13"/>
    </row>
    <row r="796" spans="1:3" ht="14" x14ac:dyDescent="0.3">
      <c r="A796" s="12"/>
      <c r="B796" s="13"/>
      <c r="C796" s="13"/>
    </row>
    <row r="797" spans="1:3" ht="14" x14ac:dyDescent="0.3">
      <c r="A797" s="12"/>
      <c r="B797" s="13"/>
      <c r="C797" s="13"/>
    </row>
    <row r="798" spans="1:3" ht="14" x14ac:dyDescent="0.3">
      <c r="A798" s="12"/>
      <c r="B798" s="13"/>
      <c r="C798" s="13"/>
    </row>
    <row r="799" spans="1:3" ht="14" x14ac:dyDescent="0.3">
      <c r="A799" s="12"/>
      <c r="B799" s="13"/>
      <c r="C799" s="13"/>
    </row>
    <row r="800" spans="1:3" ht="14" x14ac:dyDescent="0.3">
      <c r="A800" s="12"/>
      <c r="B800" s="13"/>
      <c r="C800" s="13"/>
    </row>
    <row r="801" spans="1:3" ht="14" x14ac:dyDescent="0.3">
      <c r="A801" s="12"/>
      <c r="B801" s="13"/>
      <c r="C801" s="13"/>
    </row>
    <row r="802" spans="1:3" ht="14" x14ac:dyDescent="0.3">
      <c r="A802" s="12"/>
      <c r="B802" s="13"/>
      <c r="C802" s="13"/>
    </row>
    <row r="803" spans="1:3" ht="14" x14ac:dyDescent="0.3">
      <c r="A803" s="12"/>
      <c r="B803" s="13"/>
      <c r="C803" s="13"/>
    </row>
    <row r="804" spans="1:3" ht="14" x14ac:dyDescent="0.3">
      <c r="A804" s="12"/>
      <c r="B804" s="13"/>
      <c r="C804" s="13"/>
    </row>
    <row r="805" spans="1:3" ht="14" x14ac:dyDescent="0.3">
      <c r="A805" s="12"/>
      <c r="B805" s="13"/>
      <c r="C805" s="13"/>
    </row>
    <row r="806" spans="1:3" ht="14" x14ac:dyDescent="0.3">
      <c r="A806" s="12"/>
      <c r="B806" s="13"/>
      <c r="C806" s="13"/>
    </row>
    <row r="807" spans="1:3" ht="14" x14ac:dyDescent="0.3">
      <c r="A807" s="12"/>
      <c r="B807" s="13"/>
      <c r="C807" s="13"/>
    </row>
    <row r="808" spans="1:3" ht="14" x14ac:dyDescent="0.3">
      <c r="A808" s="12"/>
      <c r="B808" s="13"/>
      <c r="C808" s="13"/>
    </row>
    <row r="809" spans="1:3" ht="14" x14ac:dyDescent="0.3">
      <c r="A809" s="12"/>
      <c r="B809" s="13"/>
      <c r="C809" s="13"/>
    </row>
    <row r="810" spans="1:3" ht="14" x14ac:dyDescent="0.3">
      <c r="A810" s="12"/>
      <c r="B810" s="13"/>
      <c r="C810" s="13"/>
    </row>
    <row r="811" spans="1:3" ht="14" x14ac:dyDescent="0.3">
      <c r="A811" s="12"/>
      <c r="B811" s="13"/>
      <c r="C811" s="13"/>
    </row>
    <row r="812" spans="1:3" ht="14" x14ac:dyDescent="0.3">
      <c r="A812" s="12"/>
      <c r="B812" s="13"/>
      <c r="C812" s="13"/>
    </row>
    <row r="813" spans="1:3" ht="14" x14ac:dyDescent="0.3">
      <c r="A813" s="12"/>
      <c r="B813" s="13"/>
      <c r="C813" s="13"/>
    </row>
    <row r="814" spans="1:3" ht="14" x14ac:dyDescent="0.3">
      <c r="A814" s="12"/>
      <c r="B814" s="13"/>
      <c r="C814" s="13"/>
    </row>
    <row r="815" spans="1:3" ht="14" x14ac:dyDescent="0.3">
      <c r="A815" s="12"/>
      <c r="B815" s="13"/>
      <c r="C815" s="13"/>
    </row>
    <row r="816" spans="1:3" ht="14" x14ac:dyDescent="0.3">
      <c r="A816" s="12"/>
      <c r="B816" s="13"/>
      <c r="C816" s="13"/>
    </row>
    <row r="817" spans="1:3" ht="14" x14ac:dyDescent="0.3">
      <c r="A817" s="12"/>
      <c r="B817" s="13"/>
      <c r="C817" s="13"/>
    </row>
    <row r="818" spans="1:3" ht="14" x14ac:dyDescent="0.3">
      <c r="A818" s="12"/>
      <c r="B818" s="15"/>
      <c r="C818" s="15"/>
    </row>
    <row r="819" spans="1:3" ht="14" x14ac:dyDescent="0.3">
      <c r="A819" s="12"/>
      <c r="B819" s="13"/>
      <c r="C819" s="13"/>
    </row>
    <row r="820" spans="1:3" ht="14" x14ac:dyDescent="0.3">
      <c r="A820" s="12"/>
      <c r="B820" s="13"/>
      <c r="C820" s="13"/>
    </row>
    <row r="821" spans="1:3" ht="14" x14ac:dyDescent="0.3">
      <c r="A821" s="12"/>
      <c r="B821" s="13"/>
      <c r="C821" s="13"/>
    </row>
    <row r="822" spans="1:3" ht="14" x14ac:dyDescent="0.3">
      <c r="A822" s="12"/>
      <c r="B822" s="13"/>
      <c r="C822" s="13"/>
    </row>
    <row r="823" spans="1:3" ht="14" x14ac:dyDescent="0.3">
      <c r="A823" s="12"/>
      <c r="B823" s="13"/>
      <c r="C823" s="13"/>
    </row>
    <row r="824" spans="1:3" ht="14" x14ac:dyDescent="0.3">
      <c r="A824" s="12"/>
      <c r="B824" s="13"/>
      <c r="C824" s="13"/>
    </row>
    <row r="825" spans="1:3" ht="14" x14ac:dyDescent="0.3">
      <c r="A825" s="12"/>
      <c r="B825" s="13"/>
      <c r="C825" s="13"/>
    </row>
    <row r="826" spans="1:3" ht="14" x14ac:dyDescent="0.3">
      <c r="A826" s="12"/>
      <c r="B826" s="13"/>
      <c r="C826" s="13"/>
    </row>
    <row r="827" spans="1:3" ht="14" x14ac:dyDescent="0.3">
      <c r="A827" s="12"/>
      <c r="B827" s="13"/>
      <c r="C827" s="13"/>
    </row>
    <row r="828" spans="1:3" ht="14" x14ac:dyDescent="0.3">
      <c r="A828" s="12"/>
      <c r="B828" s="13"/>
      <c r="C828" s="13"/>
    </row>
    <row r="829" spans="1:3" ht="14" x14ac:dyDescent="0.3">
      <c r="A829" s="12"/>
      <c r="B829" s="13"/>
      <c r="C829" s="13"/>
    </row>
    <row r="830" spans="1:3" ht="14" x14ac:dyDescent="0.3">
      <c r="A830" s="12"/>
      <c r="B830" s="13"/>
      <c r="C830" s="13"/>
    </row>
    <row r="831" spans="1:3" ht="14" x14ac:dyDescent="0.3">
      <c r="A831" s="12"/>
      <c r="B831" s="13"/>
      <c r="C831" s="13"/>
    </row>
    <row r="832" spans="1:3" ht="14" x14ac:dyDescent="0.3">
      <c r="A832" s="12"/>
      <c r="B832" s="13"/>
      <c r="C832" s="13"/>
    </row>
    <row r="833" spans="1:3" ht="14" x14ac:dyDescent="0.3">
      <c r="A833" s="12"/>
      <c r="B833" s="13"/>
      <c r="C833" s="13"/>
    </row>
    <row r="834" spans="1:3" ht="14" x14ac:dyDescent="0.3">
      <c r="A834" s="12"/>
      <c r="B834" s="13"/>
      <c r="C834" s="13"/>
    </row>
    <row r="835" spans="1:3" ht="14" x14ac:dyDescent="0.3">
      <c r="A835" s="12"/>
      <c r="B835" s="13"/>
      <c r="C835" s="13"/>
    </row>
    <row r="836" spans="1:3" ht="14" x14ac:dyDescent="0.3">
      <c r="A836" s="12"/>
      <c r="B836" s="13"/>
      <c r="C836" s="13"/>
    </row>
    <row r="837" spans="1:3" ht="14" x14ac:dyDescent="0.3">
      <c r="A837" s="12"/>
      <c r="B837" s="13"/>
      <c r="C837" s="13"/>
    </row>
    <row r="838" spans="1:3" ht="14" x14ac:dyDescent="0.3">
      <c r="A838" s="12"/>
      <c r="B838" s="13"/>
      <c r="C838" s="13"/>
    </row>
    <row r="839" spans="1:3" ht="14" x14ac:dyDescent="0.3">
      <c r="A839" s="12"/>
      <c r="B839" s="13"/>
      <c r="C839" s="13"/>
    </row>
    <row r="840" spans="1:3" ht="14" x14ac:dyDescent="0.3">
      <c r="A840" s="12"/>
      <c r="B840" s="13"/>
      <c r="C840" s="13"/>
    </row>
    <row r="841" spans="1:3" ht="14" x14ac:dyDescent="0.3">
      <c r="A841" s="12"/>
      <c r="B841" s="13"/>
      <c r="C841" s="13"/>
    </row>
    <row r="842" spans="1:3" ht="14" x14ac:dyDescent="0.3">
      <c r="A842" s="12"/>
      <c r="B842" s="15"/>
      <c r="C842" s="15"/>
    </row>
    <row r="843" spans="1:3" ht="14" x14ac:dyDescent="0.3">
      <c r="A843" s="12"/>
      <c r="B843" s="13"/>
      <c r="C843" s="13"/>
    </row>
    <row r="844" spans="1:3" ht="14" x14ac:dyDescent="0.3">
      <c r="A844" s="12"/>
      <c r="B844" s="13"/>
      <c r="C844" s="13"/>
    </row>
    <row r="845" spans="1:3" ht="14" x14ac:dyDescent="0.3">
      <c r="A845" s="12"/>
      <c r="B845" s="13"/>
      <c r="C845" s="13"/>
    </row>
    <row r="846" spans="1:3" ht="14" x14ac:dyDescent="0.3">
      <c r="A846" s="12"/>
      <c r="B846" s="13"/>
      <c r="C846" s="13"/>
    </row>
    <row r="847" spans="1:3" ht="14" x14ac:dyDescent="0.3">
      <c r="A847" s="12"/>
      <c r="B847" s="13"/>
      <c r="C847" s="13"/>
    </row>
    <row r="848" spans="1:3" ht="14" x14ac:dyDescent="0.3">
      <c r="A848" s="12"/>
      <c r="B848" s="13"/>
      <c r="C848" s="13"/>
    </row>
    <row r="849" spans="1:3" ht="14" x14ac:dyDescent="0.3">
      <c r="A849" s="12"/>
      <c r="B849" s="13"/>
      <c r="C849" s="13"/>
    </row>
    <row r="850" spans="1:3" ht="14" x14ac:dyDescent="0.3">
      <c r="A850" s="12"/>
      <c r="B850" s="13"/>
      <c r="C850" s="13"/>
    </row>
    <row r="851" spans="1:3" ht="14" x14ac:dyDescent="0.3">
      <c r="A851" s="12"/>
      <c r="B851" s="13"/>
      <c r="C851" s="13"/>
    </row>
    <row r="852" spans="1:3" ht="14" x14ac:dyDescent="0.3">
      <c r="A852" s="12"/>
      <c r="B852" s="13"/>
      <c r="C852" s="13"/>
    </row>
    <row r="853" spans="1:3" ht="14" x14ac:dyDescent="0.3">
      <c r="A853" s="12"/>
      <c r="B853" s="13"/>
      <c r="C853" s="13"/>
    </row>
    <row r="854" spans="1:3" ht="14" x14ac:dyDescent="0.3">
      <c r="A854" s="12"/>
      <c r="B854" s="13"/>
      <c r="C854" s="13"/>
    </row>
    <row r="855" spans="1:3" ht="14" x14ac:dyDescent="0.3">
      <c r="A855" s="12"/>
      <c r="B855" s="13"/>
      <c r="C855" s="13"/>
    </row>
    <row r="856" spans="1:3" ht="14" x14ac:dyDescent="0.3">
      <c r="A856" s="12"/>
      <c r="B856" s="13"/>
      <c r="C856" s="13"/>
    </row>
    <row r="857" spans="1:3" ht="14" x14ac:dyDescent="0.3">
      <c r="A857" s="12"/>
      <c r="B857" s="13"/>
      <c r="C857" s="13"/>
    </row>
    <row r="858" spans="1:3" ht="14" x14ac:dyDescent="0.3">
      <c r="A858" s="12"/>
      <c r="B858" s="13"/>
      <c r="C858" s="13"/>
    </row>
    <row r="859" spans="1:3" ht="14" x14ac:dyDescent="0.3">
      <c r="A859" s="12"/>
      <c r="B859" s="13"/>
      <c r="C859" s="13"/>
    </row>
    <row r="860" spans="1:3" ht="14" x14ac:dyDescent="0.3">
      <c r="A860" s="12"/>
      <c r="B860" s="13"/>
      <c r="C860" s="13"/>
    </row>
    <row r="861" spans="1:3" ht="14" x14ac:dyDescent="0.3">
      <c r="A861" s="12"/>
      <c r="B861" s="13"/>
      <c r="C861" s="13"/>
    </row>
    <row r="862" spans="1:3" ht="14" x14ac:dyDescent="0.3">
      <c r="A862" s="12"/>
      <c r="B862" s="13"/>
      <c r="C862" s="13"/>
    </row>
    <row r="863" spans="1:3" ht="14" x14ac:dyDescent="0.3">
      <c r="A863" s="12"/>
      <c r="B863" s="13"/>
      <c r="C863" s="13"/>
    </row>
    <row r="864" spans="1:3" ht="14" x14ac:dyDescent="0.3">
      <c r="A864" s="12"/>
      <c r="B864" s="13"/>
      <c r="C864" s="13"/>
    </row>
    <row r="865" spans="1:3" ht="14" x14ac:dyDescent="0.3">
      <c r="A865" s="12"/>
      <c r="B865" s="13"/>
      <c r="C865" s="13"/>
    </row>
    <row r="866" spans="1:3" ht="14" x14ac:dyDescent="0.3">
      <c r="A866" s="12"/>
      <c r="B866" s="15"/>
      <c r="C866" s="15"/>
    </row>
    <row r="867" spans="1:3" ht="14" x14ac:dyDescent="0.3">
      <c r="A867" s="12"/>
      <c r="B867" s="13"/>
      <c r="C867" s="13"/>
    </row>
    <row r="868" spans="1:3" ht="14" x14ac:dyDescent="0.3">
      <c r="A868" s="12"/>
      <c r="B868" s="13"/>
      <c r="C868" s="13"/>
    </row>
    <row r="869" spans="1:3" ht="14" x14ac:dyDescent="0.3">
      <c r="A869" s="12"/>
      <c r="B869" s="13"/>
      <c r="C869" s="13"/>
    </row>
    <row r="870" spans="1:3" ht="14" x14ac:dyDescent="0.3">
      <c r="A870" s="12"/>
      <c r="B870" s="13"/>
      <c r="C870" s="13"/>
    </row>
    <row r="871" spans="1:3" ht="14" x14ac:dyDescent="0.3">
      <c r="A871" s="12"/>
      <c r="B871" s="13"/>
      <c r="C871" s="13"/>
    </row>
    <row r="872" spans="1:3" ht="14" x14ac:dyDescent="0.3">
      <c r="A872" s="12"/>
      <c r="B872" s="13"/>
      <c r="C872" s="13"/>
    </row>
    <row r="873" spans="1:3" ht="14" x14ac:dyDescent="0.3">
      <c r="A873" s="12"/>
      <c r="B873" s="13"/>
      <c r="C873" s="13"/>
    </row>
    <row r="874" spans="1:3" ht="14" x14ac:dyDescent="0.3">
      <c r="A874" s="12"/>
      <c r="B874" s="13"/>
      <c r="C874" s="13"/>
    </row>
    <row r="875" spans="1:3" ht="14" x14ac:dyDescent="0.3">
      <c r="A875" s="12"/>
      <c r="B875" s="13"/>
      <c r="C875" s="13"/>
    </row>
    <row r="876" spans="1:3" ht="14" x14ac:dyDescent="0.3">
      <c r="A876" s="12"/>
      <c r="B876" s="13"/>
      <c r="C876" s="13"/>
    </row>
    <row r="877" spans="1:3" ht="14" x14ac:dyDescent="0.3">
      <c r="A877" s="12"/>
      <c r="B877" s="13"/>
      <c r="C877" s="13"/>
    </row>
    <row r="878" spans="1:3" ht="14" x14ac:dyDescent="0.3">
      <c r="A878" s="12"/>
      <c r="B878" s="13"/>
      <c r="C878" s="13"/>
    </row>
    <row r="879" spans="1:3" ht="14" x14ac:dyDescent="0.3">
      <c r="A879" s="12"/>
      <c r="B879" s="13"/>
      <c r="C879" s="13"/>
    </row>
    <row r="880" spans="1:3" ht="14" x14ac:dyDescent="0.3">
      <c r="A880" s="12"/>
      <c r="B880" s="13"/>
      <c r="C880" s="13"/>
    </row>
    <row r="881" spans="1:3" ht="14" x14ac:dyDescent="0.3">
      <c r="A881" s="12"/>
      <c r="B881" s="13"/>
      <c r="C881" s="13"/>
    </row>
    <row r="882" spans="1:3" ht="14" x14ac:dyDescent="0.3">
      <c r="A882" s="12"/>
      <c r="B882" s="13"/>
      <c r="C882" s="13"/>
    </row>
    <row r="883" spans="1:3" ht="14" x14ac:dyDescent="0.3">
      <c r="A883" s="12"/>
      <c r="B883" s="13"/>
      <c r="C883" s="13"/>
    </row>
    <row r="884" spans="1:3" ht="14" x14ac:dyDescent="0.3">
      <c r="A884" s="12"/>
      <c r="B884" s="13"/>
      <c r="C884" s="13"/>
    </row>
    <row r="885" spans="1:3" ht="14" x14ac:dyDescent="0.3">
      <c r="A885" s="12"/>
      <c r="B885" s="13"/>
      <c r="C885" s="13"/>
    </row>
    <row r="886" spans="1:3" ht="14" x14ac:dyDescent="0.3">
      <c r="A886" s="12"/>
      <c r="B886" s="13"/>
      <c r="C886" s="13"/>
    </row>
    <row r="887" spans="1:3" ht="14" x14ac:dyDescent="0.3">
      <c r="A887" s="12"/>
      <c r="B887" s="13"/>
      <c r="C887" s="13"/>
    </row>
    <row r="888" spans="1:3" ht="14" x14ac:dyDescent="0.3">
      <c r="A888" s="12"/>
      <c r="B888" s="13"/>
      <c r="C888" s="13"/>
    </row>
    <row r="889" spans="1:3" ht="14" x14ac:dyDescent="0.3">
      <c r="A889" s="12"/>
      <c r="B889" s="13"/>
      <c r="C889" s="13"/>
    </row>
    <row r="890" spans="1:3" ht="14" x14ac:dyDescent="0.3">
      <c r="A890" s="12"/>
      <c r="B890" s="15"/>
      <c r="C890" s="15"/>
    </row>
    <row r="891" spans="1:3" ht="14" x14ac:dyDescent="0.3">
      <c r="A891" s="12"/>
      <c r="B891" s="13"/>
      <c r="C891" s="13"/>
    </row>
    <row r="892" spans="1:3" ht="14" x14ac:dyDescent="0.3">
      <c r="A892" s="12"/>
      <c r="B892" s="13"/>
      <c r="C892" s="13"/>
    </row>
    <row r="893" spans="1:3" ht="14" x14ac:dyDescent="0.3">
      <c r="A893" s="12"/>
      <c r="B893" s="13"/>
      <c r="C893" s="13"/>
    </row>
    <row r="894" spans="1:3" ht="14" x14ac:dyDescent="0.3">
      <c r="A894" s="12"/>
      <c r="B894" s="13"/>
      <c r="C894" s="13"/>
    </row>
    <row r="895" spans="1:3" ht="14" x14ac:dyDescent="0.3">
      <c r="A895" s="12"/>
      <c r="B895" s="13"/>
      <c r="C895" s="13"/>
    </row>
    <row r="896" spans="1:3" ht="14" x14ac:dyDescent="0.3">
      <c r="A896" s="12"/>
      <c r="B896" s="13"/>
      <c r="C896" s="13"/>
    </row>
    <row r="897" spans="1:3" ht="14" x14ac:dyDescent="0.3">
      <c r="A897" s="12"/>
      <c r="B897" s="13"/>
      <c r="C897" s="13"/>
    </row>
    <row r="898" spans="1:3" ht="14" x14ac:dyDescent="0.3">
      <c r="A898" s="12"/>
      <c r="B898" s="13"/>
      <c r="C898" s="13"/>
    </row>
    <row r="899" spans="1:3" ht="14" x14ac:dyDescent="0.3">
      <c r="A899" s="12"/>
      <c r="B899" s="13"/>
      <c r="C899" s="13"/>
    </row>
    <row r="900" spans="1:3" ht="14" x14ac:dyDescent="0.3">
      <c r="A900" s="12"/>
      <c r="B900" s="13"/>
      <c r="C900" s="13"/>
    </row>
    <row r="901" spans="1:3" ht="14" x14ac:dyDescent="0.3">
      <c r="A901" s="12"/>
      <c r="B901" s="13"/>
      <c r="C901" s="13"/>
    </row>
    <row r="902" spans="1:3" ht="14" x14ac:dyDescent="0.3">
      <c r="A902" s="12"/>
      <c r="B902" s="13"/>
      <c r="C902" s="13"/>
    </row>
    <row r="903" spans="1:3" ht="14" x14ac:dyDescent="0.3">
      <c r="A903" s="12"/>
      <c r="B903" s="13"/>
      <c r="C903" s="13"/>
    </row>
    <row r="904" spans="1:3" ht="14" x14ac:dyDescent="0.3">
      <c r="A904" s="12"/>
      <c r="B904" s="13"/>
      <c r="C904" s="13"/>
    </row>
    <row r="905" spans="1:3" ht="14" x14ac:dyDescent="0.3">
      <c r="A905" s="12"/>
      <c r="B905" s="13"/>
      <c r="C905" s="13"/>
    </row>
    <row r="906" spans="1:3" ht="14" x14ac:dyDescent="0.3">
      <c r="A906" s="12"/>
      <c r="B906" s="13"/>
      <c r="C906" s="13"/>
    </row>
    <row r="907" spans="1:3" ht="14" x14ac:dyDescent="0.3">
      <c r="A907" s="12"/>
      <c r="B907" s="13"/>
      <c r="C907" s="13"/>
    </row>
    <row r="908" spans="1:3" ht="14" x14ac:dyDescent="0.3">
      <c r="A908" s="12"/>
      <c r="B908" s="13"/>
      <c r="C908" s="13"/>
    </row>
    <row r="909" spans="1:3" ht="14" x14ac:dyDescent="0.3">
      <c r="A909" s="12"/>
      <c r="B909" s="13"/>
      <c r="C909" s="13"/>
    </row>
    <row r="910" spans="1:3" ht="14" x14ac:dyDescent="0.3">
      <c r="A910" s="12"/>
      <c r="B910" s="13"/>
      <c r="C910" s="13"/>
    </row>
    <row r="911" spans="1:3" ht="14" x14ac:dyDescent="0.3">
      <c r="A911" s="12"/>
      <c r="B911" s="13"/>
      <c r="C911" s="13"/>
    </row>
    <row r="912" spans="1:3" ht="14" x14ac:dyDescent="0.3">
      <c r="A912" s="12"/>
      <c r="B912" s="13"/>
      <c r="C912" s="13"/>
    </row>
    <row r="913" spans="1:3" ht="14" x14ac:dyDescent="0.3">
      <c r="A913" s="12"/>
      <c r="B913" s="13"/>
      <c r="C913" s="13"/>
    </row>
    <row r="914" spans="1:3" ht="14" x14ac:dyDescent="0.3">
      <c r="A914" s="12"/>
      <c r="B914" s="15"/>
      <c r="C914" s="15"/>
    </row>
    <row r="915" spans="1:3" ht="14" x14ac:dyDescent="0.3">
      <c r="A915" s="12"/>
      <c r="B915" s="13"/>
      <c r="C915" s="13"/>
    </row>
    <row r="916" spans="1:3" ht="14" x14ac:dyDescent="0.3">
      <c r="A916" s="12"/>
      <c r="B916" s="13"/>
      <c r="C916" s="13"/>
    </row>
    <row r="917" spans="1:3" ht="14" x14ac:dyDescent="0.3">
      <c r="A917" s="12"/>
      <c r="B917" s="13"/>
      <c r="C917" s="13"/>
    </row>
    <row r="918" spans="1:3" ht="14" x14ac:dyDescent="0.3">
      <c r="A918" s="12"/>
      <c r="B918" s="13"/>
      <c r="C918" s="13"/>
    </row>
    <row r="919" spans="1:3" ht="14" x14ac:dyDescent="0.3">
      <c r="A919" s="12"/>
      <c r="B919" s="13"/>
      <c r="C919" s="13"/>
    </row>
    <row r="920" spans="1:3" ht="14" x14ac:dyDescent="0.3">
      <c r="A920" s="12"/>
      <c r="B920" s="13"/>
      <c r="C920" s="13"/>
    </row>
    <row r="921" spans="1:3" ht="14" x14ac:dyDescent="0.3">
      <c r="A921" s="12"/>
      <c r="B921" s="13"/>
      <c r="C921" s="13"/>
    </row>
    <row r="922" spans="1:3" ht="14" x14ac:dyDescent="0.3">
      <c r="A922" s="12"/>
      <c r="B922" s="13"/>
      <c r="C922" s="13"/>
    </row>
    <row r="923" spans="1:3" ht="14" x14ac:dyDescent="0.3">
      <c r="A923" s="12"/>
      <c r="B923" s="13"/>
      <c r="C923" s="13"/>
    </row>
    <row r="924" spans="1:3" ht="14" x14ac:dyDescent="0.3">
      <c r="A924" s="12"/>
      <c r="B924" s="13"/>
      <c r="C924" s="13"/>
    </row>
    <row r="925" spans="1:3" ht="14" x14ac:dyDescent="0.3">
      <c r="A925" s="12"/>
      <c r="B925" s="13"/>
      <c r="C925" s="13"/>
    </row>
    <row r="926" spans="1:3" ht="14" x14ac:dyDescent="0.3">
      <c r="A926" s="12"/>
      <c r="B926" s="13"/>
      <c r="C926" s="13"/>
    </row>
    <row r="927" spans="1:3" ht="14" x14ac:dyDescent="0.3">
      <c r="A927" s="12"/>
      <c r="B927" s="13"/>
      <c r="C927" s="13"/>
    </row>
    <row r="928" spans="1:3" ht="14" x14ac:dyDescent="0.3">
      <c r="A928" s="12"/>
      <c r="B928" s="13"/>
      <c r="C928" s="13"/>
    </row>
    <row r="929" spans="1:3" ht="14" x14ac:dyDescent="0.3">
      <c r="A929" s="12"/>
      <c r="B929" s="13"/>
      <c r="C929" s="13"/>
    </row>
    <row r="930" spans="1:3" ht="14" x14ac:dyDescent="0.3">
      <c r="A930" s="12"/>
      <c r="B930" s="13"/>
      <c r="C930" s="13"/>
    </row>
    <row r="931" spans="1:3" ht="14" x14ac:dyDescent="0.3">
      <c r="A931" s="12"/>
      <c r="B931" s="13"/>
      <c r="C931" s="13"/>
    </row>
    <row r="932" spans="1:3" ht="14" x14ac:dyDescent="0.3">
      <c r="A932" s="12"/>
      <c r="B932" s="13"/>
      <c r="C932" s="13"/>
    </row>
    <row r="933" spans="1:3" ht="14" x14ac:dyDescent="0.3">
      <c r="A933" s="12"/>
      <c r="B933" s="13"/>
      <c r="C933" s="13"/>
    </row>
    <row r="934" spans="1:3" ht="14" x14ac:dyDescent="0.3">
      <c r="A934" s="12"/>
      <c r="B934" s="13"/>
      <c r="C934" s="13"/>
    </row>
    <row r="935" spans="1:3" ht="14" x14ac:dyDescent="0.3">
      <c r="A935" s="12"/>
      <c r="B935" s="13"/>
      <c r="C935" s="13"/>
    </row>
    <row r="936" spans="1:3" ht="14" x14ac:dyDescent="0.3">
      <c r="A936" s="12"/>
      <c r="B936" s="13"/>
      <c r="C936" s="13"/>
    </row>
    <row r="937" spans="1:3" ht="14" x14ac:dyDescent="0.3">
      <c r="A937" s="12"/>
      <c r="B937" s="13"/>
      <c r="C937" s="13"/>
    </row>
    <row r="938" spans="1:3" ht="14" x14ac:dyDescent="0.3">
      <c r="A938" s="12"/>
      <c r="B938" s="15"/>
      <c r="C938" s="15"/>
    </row>
    <row r="939" spans="1:3" ht="14" x14ac:dyDescent="0.3">
      <c r="A939" s="12"/>
      <c r="B939" s="13"/>
      <c r="C939" s="13"/>
    </row>
    <row r="940" spans="1:3" ht="14" x14ac:dyDescent="0.3">
      <c r="A940" s="12"/>
      <c r="B940" s="13"/>
      <c r="C940" s="13"/>
    </row>
    <row r="941" spans="1:3" ht="14" x14ac:dyDescent="0.3">
      <c r="A941" s="12"/>
      <c r="B941" s="13"/>
      <c r="C941" s="13"/>
    </row>
    <row r="942" spans="1:3" ht="14" x14ac:dyDescent="0.3">
      <c r="A942" s="12"/>
      <c r="B942" s="13"/>
      <c r="C942" s="13"/>
    </row>
    <row r="943" spans="1:3" ht="14" x14ac:dyDescent="0.3">
      <c r="A943" s="12"/>
      <c r="B943" s="13"/>
      <c r="C943" s="13"/>
    </row>
    <row r="944" spans="1:3" ht="14" x14ac:dyDescent="0.3">
      <c r="A944" s="12"/>
      <c r="B944" s="13"/>
      <c r="C944" s="13"/>
    </row>
    <row r="945" spans="1:3" ht="14" x14ac:dyDescent="0.3">
      <c r="A945" s="12"/>
      <c r="B945" s="13"/>
      <c r="C945" s="13"/>
    </row>
    <row r="946" spans="1:3" ht="14" x14ac:dyDescent="0.3">
      <c r="A946" s="12"/>
      <c r="B946" s="13"/>
      <c r="C946" s="13"/>
    </row>
    <row r="947" spans="1:3" ht="14" x14ac:dyDescent="0.3">
      <c r="A947" s="12"/>
      <c r="B947" s="13"/>
      <c r="C947" s="13"/>
    </row>
    <row r="948" spans="1:3" ht="14" x14ac:dyDescent="0.3">
      <c r="A948" s="12"/>
      <c r="B948" s="13"/>
      <c r="C948" s="13"/>
    </row>
    <row r="949" spans="1:3" ht="14" x14ac:dyDescent="0.3">
      <c r="A949" s="12"/>
      <c r="B949" s="13"/>
      <c r="C949" s="13"/>
    </row>
    <row r="950" spans="1:3" ht="14" x14ac:dyDescent="0.3">
      <c r="A950" s="12"/>
      <c r="B950" s="13"/>
      <c r="C950" s="13"/>
    </row>
    <row r="951" spans="1:3" ht="14" x14ac:dyDescent="0.3">
      <c r="A951" s="12"/>
      <c r="B951" s="13"/>
      <c r="C951" s="13"/>
    </row>
    <row r="952" spans="1:3" ht="14" x14ac:dyDescent="0.3">
      <c r="A952" s="12"/>
      <c r="B952" s="13"/>
      <c r="C952" s="13"/>
    </row>
    <row r="953" spans="1:3" ht="14" x14ac:dyDescent="0.3">
      <c r="A953" s="12"/>
      <c r="B953" s="13"/>
      <c r="C953" s="13"/>
    </row>
    <row r="954" spans="1:3" ht="14" x14ac:dyDescent="0.3">
      <c r="A954" s="12"/>
      <c r="B954" s="13"/>
      <c r="C954" s="13"/>
    </row>
    <row r="955" spans="1:3" ht="14" x14ac:dyDescent="0.3">
      <c r="A955" s="12"/>
      <c r="B955" s="13"/>
      <c r="C955" s="13"/>
    </row>
    <row r="956" spans="1:3" ht="14" x14ac:dyDescent="0.3">
      <c r="A956" s="12"/>
      <c r="B956" s="13"/>
      <c r="C956" s="13"/>
    </row>
    <row r="957" spans="1:3" ht="14" x14ac:dyDescent="0.3">
      <c r="A957" s="12"/>
      <c r="B957" s="13"/>
      <c r="C957" s="13"/>
    </row>
    <row r="958" spans="1:3" ht="14" x14ac:dyDescent="0.3">
      <c r="A958" s="12"/>
      <c r="B958" s="13"/>
      <c r="C958" s="13"/>
    </row>
    <row r="959" spans="1:3" ht="14" x14ac:dyDescent="0.3">
      <c r="A959" s="12"/>
      <c r="B959" s="13"/>
      <c r="C959" s="13"/>
    </row>
    <row r="960" spans="1:3" ht="14" x14ac:dyDescent="0.3">
      <c r="A960" s="12"/>
      <c r="B960" s="13"/>
      <c r="C960" s="13"/>
    </row>
    <row r="961" spans="1:3" ht="14" x14ac:dyDescent="0.3">
      <c r="A961" s="12"/>
      <c r="B961" s="13"/>
      <c r="C961" s="13"/>
    </row>
    <row r="962" spans="1:3" ht="14" x14ac:dyDescent="0.3">
      <c r="A962" s="12"/>
      <c r="B962" s="15"/>
      <c r="C962" s="15"/>
    </row>
    <row r="963" spans="1:3" ht="14" x14ac:dyDescent="0.3">
      <c r="A963" s="12"/>
      <c r="B963" s="13"/>
      <c r="C963" s="13"/>
    </row>
    <row r="964" spans="1:3" ht="14" x14ac:dyDescent="0.3">
      <c r="A964" s="12"/>
      <c r="B964" s="13"/>
      <c r="C964" s="13"/>
    </row>
    <row r="965" spans="1:3" ht="14" x14ac:dyDescent="0.3">
      <c r="A965" s="12"/>
      <c r="B965" s="13"/>
      <c r="C965" s="13"/>
    </row>
    <row r="966" spans="1:3" ht="14" x14ac:dyDescent="0.3">
      <c r="A966" s="12"/>
      <c r="B966" s="13"/>
      <c r="C966" s="13"/>
    </row>
    <row r="967" spans="1:3" ht="14" x14ac:dyDescent="0.3">
      <c r="A967" s="12"/>
      <c r="B967" s="13"/>
      <c r="C967" s="13"/>
    </row>
    <row r="968" spans="1:3" ht="14" x14ac:dyDescent="0.3">
      <c r="A968" s="12"/>
      <c r="B968" s="13"/>
      <c r="C968" s="13"/>
    </row>
    <row r="969" spans="1:3" ht="14" x14ac:dyDescent="0.3">
      <c r="A969" s="12"/>
      <c r="B969" s="13"/>
      <c r="C969" s="13"/>
    </row>
    <row r="970" spans="1:3" ht="14" x14ac:dyDescent="0.3">
      <c r="A970" s="12"/>
      <c r="B970" s="13"/>
      <c r="C970" s="13"/>
    </row>
    <row r="971" spans="1:3" ht="14" x14ac:dyDescent="0.3">
      <c r="A971" s="12"/>
      <c r="B971" s="13"/>
      <c r="C971" s="13"/>
    </row>
    <row r="972" spans="1:3" ht="14" x14ac:dyDescent="0.3">
      <c r="A972" s="12"/>
      <c r="B972" s="13"/>
      <c r="C972" s="13"/>
    </row>
    <row r="973" spans="1:3" ht="14" x14ac:dyDescent="0.3">
      <c r="A973" s="12"/>
      <c r="B973" s="13"/>
      <c r="C973" s="13"/>
    </row>
    <row r="974" spans="1:3" ht="14" x14ac:dyDescent="0.3">
      <c r="A974" s="12"/>
      <c r="B974" s="13"/>
      <c r="C974" s="13"/>
    </row>
    <row r="975" spans="1:3" ht="14" x14ac:dyDescent="0.3">
      <c r="A975" s="12"/>
      <c r="B975" s="13"/>
      <c r="C975" s="13"/>
    </row>
    <row r="976" spans="1:3" ht="14" x14ac:dyDescent="0.3">
      <c r="A976" s="12"/>
      <c r="B976" s="13"/>
      <c r="C976" s="13"/>
    </row>
    <row r="977" spans="1:3" ht="14" x14ac:dyDescent="0.3">
      <c r="A977" s="12"/>
      <c r="B977" s="13"/>
      <c r="C977" s="13"/>
    </row>
    <row r="978" spans="1:3" ht="14" x14ac:dyDescent="0.3">
      <c r="A978" s="12"/>
      <c r="B978" s="13"/>
      <c r="C978" s="13"/>
    </row>
    <row r="979" spans="1:3" ht="14" x14ac:dyDescent="0.3">
      <c r="A979" s="12"/>
      <c r="B979" s="13"/>
      <c r="C979" s="13"/>
    </row>
    <row r="980" spans="1:3" ht="14" x14ac:dyDescent="0.3">
      <c r="A980" s="12"/>
      <c r="B980" s="13"/>
      <c r="C980" s="13"/>
    </row>
    <row r="981" spans="1:3" ht="14" x14ac:dyDescent="0.3">
      <c r="A981" s="12"/>
      <c r="B981" s="13"/>
      <c r="C981" s="13"/>
    </row>
    <row r="982" spans="1:3" ht="14" x14ac:dyDescent="0.3">
      <c r="A982" s="12"/>
      <c r="B982" s="13"/>
      <c r="C982" s="13"/>
    </row>
    <row r="983" spans="1:3" ht="14" x14ac:dyDescent="0.3">
      <c r="A983" s="12"/>
      <c r="B983" s="13"/>
      <c r="C983" s="13"/>
    </row>
    <row r="984" spans="1:3" ht="14" x14ac:dyDescent="0.3">
      <c r="A984" s="12"/>
      <c r="B984" s="13"/>
      <c r="C984" s="13"/>
    </row>
    <row r="985" spans="1:3" ht="14" x14ac:dyDescent="0.3">
      <c r="A985" s="12"/>
      <c r="B985" s="13"/>
      <c r="C985" s="13"/>
    </row>
    <row r="986" spans="1:3" ht="14" x14ac:dyDescent="0.3">
      <c r="A986" s="12"/>
      <c r="B986" s="15"/>
      <c r="C986" s="15"/>
    </row>
    <row r="987" spans="1:3" ht="14" x14ac:dyDescent="0.3">
      <c r="A987" s="12"/>
      <c r="B987" s="13"/>
      <c r="C987" s="13"/>
    </row>
    <row r="988" spans="1:3" ht="14" x14ac:dyDescent="0.3">
      <c r="A988" s="12"/>
      <c r="B988" s="13"/>
      <c r="C988" s="13"/>
    </row>
    <row r="989" spans="1:3" ht="14" x14ac:dyDescent="0.3">
      <c r="A989" s="12"/>
      <c r="B989" s="13"/>
      <c r="C989" s="13"/>
    </row>
    <row r="990" spans="1:3" ht="14" x14ac:dyDescent="0.3">
      <c r="A990" s="12"/>
      <c r="B990" s="13"/>
      <c r="C990" s="13"/>
    </row>
    <row r="991" spans="1:3" ht="14" x14ac:dyDescent="0.3">
      <c r="A991" s="12"/>
      <c r="B991" s="13"/>
      <c r="C991" s="13"/>
    </row>
    <row r="992" spans="1:3" ht="14" x14ac:dyDescent="0.3">
      <c r="A992" s="12"/>
      <c r="B992" s="13"/>
      <c r="C992" s="13"/>
    </row>
    <row r="993" spans="1:3" ht="14" x14ac:dyDescent="0.3">
      <c r="A993" s="12"/>
      <c r="B993" s="13"/>
      <c r="C993" s="13"/>
    </row>
    <row r="994" spans="1:3" ht="14" x14ac:dyDescent="0.3">
      <c r="A994" s="12"/>
      <c r="B994" s="13"/>
      <c r="C994" s="13"/>
    </row>
    <row r="995" spans="1:3" ht="14" x14ac:dyDescent="0.3">
      <c r="A995" s="12"/>
      <c r="B995" s="13"/>
      <c r="C995" s="13"/>
    </row>
    <row r="996" spans="1:3" ht="14" x14ac:dyDescent="0.3">
      <c r="A996" s="12"/>
      <c r="B996" s="13"/>
      <c r="C996" s="13"/>
    </row>
    <row r="997" spans="1:3" ht="14" x14ac:dyDescent="0.3">
      <c r="A997" s="12"/>
      <c r="B997" s="13"/>
      <c r="C997" s="13"/>
    </row>
    <row r="998" spans="1:3" ht="14" x14ac:dyDescent="0.3">
      <c r="A998" s="12"/>
      <c r="B998" s="13"/>
      <c r="C998" s="13"/>
    </row>
    <row r="999" spans="1:3" ht="14" x14ac:dyDescent="0.3">
      <c r="A999" s="12"/>
      <c r="B999" s="13"/>
      <c r="C999" s="13"/>
    </row>
    <row r="1000" spans="1:3" ht="14" x14ac:dyDescent="0.3">
      <c r="A1000" s="12"/>
      <c r="B1000" s="13"/>
      <c r="C1000" s="13"/>
    </row>
    <row r="1001" spans="1:3" ht="14" x14ac:dyDescent="0.3">
      <c r="A1001" s="12"/>
      <c r="B1001" s="13"/>
      <c r="C1001" s="13"/>
    </row>
    <row r="1002" spans="1:3" ht="14" x14ac:dyDescent="0.3">
      <c r="A1002" s="12"/>
      <c r="B1002" s="13"/>
      <c r="C1002" s="13"/>
    </row>
    <row r="1003" spans="1:3" ht="14" x14ac:dyDescent="0.3">
      <c r="A1003" s="12"/>
      <c r="B1003" s="13"/>
      <c r="C1003" s="13"/>
    </row>
    <row r="1004" spans="1:3" ht="14" x14ac:dyDescent="0.3">
      <c r="A1004" s="12"/>
      <c r="B1004" s="13"/>
      <c r="C1004" s="13"/>
    </row>
    <row r="1005" spans="1:3" ht="14" x14ac:dyDescent="0.3">
      <c r="A1005" s="12"/>
      <c r="B1005" s="13"/>
      <c r="C1005" s="13"/>
    </row>
    <row r="1006" spans="1:3" ht="14" x14ac:dyDescent="0.3">
      <c r="A1006" s="12"/>
      <c r="B1006" s="13"/>
      <c r="C1006" s="13"/>
    </row>
    <row r="1007" spans="1:3" ht="14" x14ac:dyDescent="0.3">
      <c r="A1007" s="12"/>
      <c r="B1007" s="13"/>
      <c r="C1007" s="13"/>
    </row>
    <row r="1008" spans="1:3" ht="14" x14ac:dyDescent="0.3">
      <c r="A1008" s="12"/>
      <c r="B1008" s="13"/>
      <c r="C1008" s="13"/>
    </row>
    <row r="1009" spans="1:3" ht="14" x14ac:dyDescent="0.3">
      <c r="A1009" s="12"/>
      <c r="B1009" s="13"/>
      <c r="C1009" s="13"/>
    </row>
    <row r="1010" spans="1:3" ht="14" x14ac:dyDescent="0.3">
      <c r="A1010" s="12"/>
      <c r="B1010" s="15"/>
      <c r="C1010" s="15"/>
    </row>
    <row r="1011" spans="1:3" ht="14" x14ac:dyDescent="0.3">
      <c r="A1011" s="12"/>
      <c r="B1011" s="13"/>
      <c r="C1011" s="13"/>
    </row>
    <row r="1012" spans="1:3" ht="14" x14ac:dyDescent="0.3">
      <c r="A1012" s="12"/>
      <c r="B1012" s="13"/>
      <c r="C1012" s="13"/>
    </row>
    <row r="1013" spans="1:3" ht="14" x14ac:dyDescent="0.3">
      <c r="A1013" s="12"/>
      <c r="B1013" s="13"/>
      <c r="C1013" s="13"/>
    </row>
    <row r="1014" spans="1:3" ht="14" x14ac:dyDescent="0.3">
      <c r="A1014" s="12"/>
      <c r="B1014" s="13"/>
      <c r="C1014" s="13"/>
    </row>
    <row r="1015" spans="1:3" ht="14" x14ac:dyDescent="0.3">
      <c r="A1015" s="12"/>
      <c r="B1015" s="13"/>
      <c r="C1015" s="13"/>
    </row>
    <row r="1016" spans="1:3" ht="14" x14ac:dyDescent="0.3">
      <c r="A1016" s="12"/>
      <c r="B1016" s="13"/>
      <c r="C1016" s="13"/>
    </row>
    <row r="1017" spans="1:3" ht="14" x14ac:dyDescent="0.3">
      <c r="A1017" s="12"/>
      <c r="B1017" s="13"/>
      <c r="C1017" s="13"/>
    </row>
    <row r="1018" spans="1:3" ht="14" x14ac:dyDescent="0.3">
      <c r="A1018" s="12"/>
      <c r="B1018" s="13"/>
      <c r="C1018" s="13"/>
    </row>
    <row r="1019" spans="1:3" ht="14" x14ac:dyDescent="0.3">
      <c r="A1019" s="12"/>
      <c r="B1019" s="13"/>
      <c r="C1019" s="13"/>
    </row>
    <row r="1020" spans="1:3" ht="14" x14ac:dyDescent="0.3">
      <c r="A1020" s="12"/>
      <c r="B1020" s="13"/>
      <c r="C1020" s="13"/>
    </row>
    <row r="1021" spans="1:3" ht="14" x14ac:dyDescent="0.3">
      <c r="A1021" s="12"/>
      <c r="B1021" s="13"/>
      <c r="C1021" s="13"/>
    </row>
    <row r="1022" spans="1:3" ht="14" x14ac:dyDescent="0.3">
      <c r="A1022" s="12"/>
      <c r="B1022" s="13"/>
      <c r="C1022" s="13"/>
    </row>
    <row r="1023" spans="1:3" ht="14" x14ac:dyDescent="0.3">
      <c r="A1023" s="12"/>
      <c r="B1023" s="13"/>
      <c r="C1023" s="13"/>
    </row>
    <row r="1024" spans="1:3" ht="14" x14ac:dyDescent="0.3">
      <c r="A1024" s="12"/>
      <c r="B1024" s="13"/>
      <c r="C1024" s="13"/>
    </row>
    <row r="1025" spans="1:3" ht="14" x14ac:dyDescent="0.3">
      <c r="A1025" s="12"/>
      <c r="B1025" s="13"/>
      <c r="C1025" s="13"/>
    </row>
    <row r="1026" spans="1:3" ht="14" x14ac:dyDescent="0.3">
      <c r="A1026" s="12"/>
      <c r="B1026" s="13"/>
      <c r="C1026" s="13"/>
    </row>
    <row r="1027" spans="1:3" ht="14" x14ac:dyDescent="0.3">
      <c r="A1027" s="12"/>
      <c r="B1027" s="13"/>
      <c r="C1027" s="13"/>
    </row>
    <row r="1028" spans="1:3" ht="14" x14ac:dyDescent="0.3">
      <c r="A1028" s="12"/>
      <c r="B1028" s="13"/>
      <c r="C1028" s="13"/>
    </row>
    <row r="1029" spans="1:3" ht="14" x14ac:dyDescent="0.3">
      <c r="A1029" s="12"/>
      <c r="B1029" s="13"/>
      <c r="C1029" s="13"/>
    </row>
    <row r="1030" spans="1:3" ht="14" x14ac:dyDescent="0.3">
      <c r="A1030" s="12"/>
      <c r="B1030" s="13"/>
      <c r="C1030" s="13"/>
    </row>
    <row r="1031" spans="1:3" ht="14" x14ac:dyDescent="0.3">
      <c r="A1031" s="12"/>
      <c r="B1031" s="13"/>
      <c r="C1031" s="13"/>
    </row>
    <row r="1032" spans="1:3" ht="14" x14ac:dyDescent="0.3">
      <c r="A1032" s="12"/>
      <c r="B1032" s="13"/>
      <c r="C1032" s="13"/>
    </row>
    <row r="1033" spans="1:3" ht="14" x14ac:dyDescent="0.3">
      <c r="A1033" s="12"/>
      <c r="B1033" s="13"/>
      <c r="C1033" s="13"/>
    </row>
    <row r="1034" spans="1:3" ht="14" x14ac:dyDescent="0.3">
      <c r="A1034" s="12"/>
      <c r="B1034" s="15"/>
      <c r="C1034" s="15"/>
    </row>
    <row r="1035" spans="1:3" ht="14" x14ac:dyDescent="0.3">
      <c r="A1035" s="12"/>
      <c r="B1035" s="13"/>
      <c r="C1035" s="13"/>
    </row>
    <row r="1036" spans="1:3" ht="14" x14ac:dyDescent="0.3">
      <c r="A1036" s="12"/>
      <c r="B1036" s="13"/>
      <c r="C1036" s="13"/>
    </row>
    <row r="1037" spans="1:3" ht="14" x14ac:dyDescent="0.3">
      <c r="A1037" s="12"/>
      <c r="B1037" s="13"/>
      <c r="C1037" s="13"/>
    </row>
    <row r="1038" spans="1:3" ht="14" x14ac:dyDescent="0.3">
      <c r="A1038" s="12"/>
      <c r="B1038" s="13"/>
      <c r="C1038" s="13"/>
    </row>
    <row r="1039" spans="1:3" ht="14" x14ac:dyDescent="0.3">
      <c r="A1039" s="12"/>
      <c r="B1039" s="13"/>
      <c r="C1039" s="13"/>
    </row>
    <row r="1040" spans="1:3" ht="14" x14ac:dyDescent="0.3">
      <c r="A1040" s="12"/>
      <c r="B1040" s="13"/>
      <c r="C1040" s="13"/>
    </row>
    <row r="1041" spans="1:3" ht="14" x14ac:dyDescent="0.3">
      <c r="A1041" s="12"/>
      <c r="B1041" s="13"/>
      <c r="C1041" s="13"/>
    </row>
    <row r="1042" spans="1:3" ht="14" x14ac:dyDescent="0.3">
      <c r="A1042" s="12"/>
      <c r="B1042" s="13"/>
      <c r="C1042" s="13"/>
    </row>
    <row r="1043" spans="1:3" ht="14" x14ac:dyDescent="0.3">
      <c r="A1043" s="12"/>
      <c r="B1043" s="13"/>
      <c r="C1043" s="13"/>
    </row>
    <row r="1044" spans="1:3" ht="14" x14ac:dyDescent="0.3">
      <c r="A1044" s="12"/>
      <c r="B1044" s="13"/>
      <c r="C1044" s="13"/>
    </row>
    <row r="1045" spans="1:3" ht="14" x14ac:dyDescent="0.3">
      <c r="A1045" s="12"/>
      <c r="B1045" s="13"/>
      <c r="C1045" s="13"/>
    </row>
    <row r="1046" spans="1:3" ht="14" x14ac:dyDescent="0.3">
      <c r="A1046" s="12"/>
      <c r="B1046" s="13"/>
      <c r="C1046" s="13"/>
    </row>
    <row r="1047" spans="1:3" ht="14" x14ac:dyDescent="0.3">
      <c r="A1047" s="12"/>
      <c r="B1047" s="13"/>
      <c r="C1047" s="13"/>
    </row>
    <row r="1048" spans="1:3" ht="14" x14ac:dyDescent="0.3">
      <c r="A1048" s="12"/>
      <c r="B1048" s="13"/>
      <c r="C1048" s="13"/>
    </row>
    <row r="1049" spans="1:3" ht="14" x14ac:dyDescent="0.3">
      <c r="A1049" s="12"/>
      <c r="B1049" s="13"/>
      <c r="C1049" s="13"/>
    </row>
    <row r="1050" spans="1:3" ht="14" x14ac:dyDescent="0.3">
      <c r="A1050" s="12"/>
      <c r="B1050" s="13"/>
      <c r="C1050" s="13"/>
    </row>
    <row r="1051" spans="1:3" ht="14" x14ac:dyDescent="0.3">
      <c r="A1051" s="12"/>
      <c r="B1051" s="13"/>
      <c r="C1051" s="13"/>
    </row>
    <row r="1052" spans="1:3" ht="14" x14ac:dyDescent="0.3">
      <c r="A1052" s="12"/>
      <c r="B1052" s="13"/>
      <c r="C1052" s="13"/>
    </row>
    <row r="1053" spans="1:3" ht="14" x14ac:dyDescent="0.3">
      <c r="A1053" s="12"/>
      <c r="B1053" s="13"/>
      <c r="C1053" s="13"/>
    </row>
    <row r="1054" spans="1:3" ht="14" x14ac:dyDescent="0.3">
      <c r="A1054" s="12"/>
      <c r="B1054" s="13"/>
      <c r="C1054" s="13"/>
    </row>
    <row r="1055" spans="1:3" ht="14" x14ac:dyDescent="0.3">
      <c r="A1055" s="12"/>
      <c r="B1055" s="13"/>
      <c r="C1055" s="13"/>
    </row>
    <row r="1056" spans="1:3" ht="14" x14ac:dyDescent="0.3">
      <c r="A1056" s="12"/>
      <c r="B1056" s="13"/>
      <c r="C1056" s="13"/>
    </row>
    <row r="1057" spans="1:3" ht="14" x14ac:dyDescent="0.3">
      <c r="A1057" s="12"/>
      <c r="B1057" s="13"/>
      <c r="C1057" s="13"/>
    </row>
    <row r="1058" spans="1:3" ht="14" x14ac:dyDescent="0.3">
      <c r="A1058" s="12"/>
      <c r="B1058" s="15"/>
      <c r="C1058" s="15"/>
    </row>
    <row r="1059" spans="1:3" ht="14" x14ac:dyDescent="0.3">
      <c r="A1059" s="12"/>
      <c r="B1059" s="13"/>
      <c r="C1059" s="13"/>
    </row>
    <row r="1060" spans="1:3" ht="14" x14ac:dyDescent="0.3">
      <c r="A1060" s="12"/>
      <c r="B1060" s="13"/>
      <c r="C1060" s="13"/>
    </row>
    <row r="1061" spans="1:3" ht="14" x14ac:dyDescent="0.3">
      <c r="A1061" s="12"/>
      <c r="B1061" s="13"/>
      <c r="C1061" s="13"/>
    </row>
    <row r="1062" spans="1:3" ht="14" x14ac:dyDescent="0.3">
      <c r="A1062" s="12"/>
      <c r="B1062" s="13"/>
      <c r="C1062" s="13"/>
    </row>
    <row r="1063" spans="1:3" ht="14" x14ac:dyDescent="0.3">
      <c r="A1063" s="12"/>
      <c r="B1063" s="13"/>
      <c r="C1063" s="13"/>
    </row>
    <row r="1064" spans="1:3" ht="14" x14ac:dyDescent="0.3">
      <c r="A1064" s="12"/>
      <c r="B1064" s="13"/>
      <c r="C1064" s="13"/>
    </row>
    <row r="1065" spans="1:3" ht="14" x14ac:dyDescent="0.3">
      <c r="A1065" s="12"/>
      <c r="B1065" s="13"/>
      <c r="C1065" s="13"/>
    </row>
    <row r="1066" spans="1:3" ht="14" x14ac:dyDescent="0.3">
      <c r="A1066" s="12"/>
      <c r="B1066" s="13"/>
      <c r="C1066" s="13"/>
    </row>
    <row r="1067" spans="1:3" ht="14" x14ac:dyDescent="0.3">
      <c r="A1067" s="12"/>
      <c r="B1067" s="13"/>
      <c r="C1067" s="13"/>
    </row>
    <row r="1068" spans="1:3" ht="14" x14ac:dyDescent="0.3">
      <c r="A1068" s="12"/>
      <c r="B1068" s="13"/>
      <c r="C1068" s="13"/>
    </row>
    <row r="1069" spans="1:3" ht="14" x14ac:dyDescent="0.3">
      <c r="A1069" s="12"/>
      <c r="B1069" s="13"/>
      <c r="C1069" s="13"/>
    </row>
    <row r="1070" spans="1:3" ht="14" x14ac:dyDescent="0.3">
      <c r="A1070" s="12"/>
      <c r="B1070" s="13"/>
      <c r="C1070" s="13"/>
    </row>
    <row r="1071" spans="1:3" ht="14" x14ac:dyDescent="0.3">
      <c r="A1071" s="12"/>
      <c r="B1071" s="13"/>
      <c r="C1071" s="13"/>
    </row>
    <row r="1072" spans="1:3" ht="14" x14ac:dyDescent="0.3">
      <c r="A1072" s="12"/>
      <c r="B1072" s="13"/>
      <c r="C1072" s="13"/>
    </row>
    <row r="1073" spans="1:3" ht="14" x14ac:dyDescent="0.3">
      <c r="A1073" s="12"/>
      <c r="B1073" s="13"/>
      <c r="C1073" s="13"/>
    </row>
    <row r="1074" spans="1:3" ht="14" x14ac:dyDescent="0.3">
      <c r="A1074" s="12"/>
      <c r="B1074" s="13"/>
      <c r="C1074" s="13"/>
    </row>
    <row r="1075" spans="1:3" ht="14" x14ac:dyDescent="0.3">
      <c r="A1075" s="12"/>
      <c r="B1075" s="13"/>
      <c r="C1075" s="13"/>
    </row>
    <row r="1076" spans="1:3" ht="14" x14ac:dyDescent="0.3">
      <c r="A1076" s="12"/>
      <c r="B1076" s="13"/>
      <c r="C1076" s="13"/>
    </row>
    <row r="1077" spans="1:3" ht="14" x14ac:dyDescent="0.3">
      <c r="A1077" s="12"/>
      <c r="B1077" s="13"/>
      <c r="C1077" s="13"/>
    </row>
    <row r="1078" spans="1:3" ht="14" x14ac:dyDescent="0.3">
      <c r="A1078" s="12"/>
      <c r="B1078" s="13"/>
      <c r="C1078" s="13"/>
    </row>
    <row r="1079" spans="1:3" ht="14" x14ac:dyDescent="0.3">
      <c r="A1079" s="12"/>
      <c r="B1079" s="13"/>
      <c r="C1079" s="13"/>
    </row>
    <row r="1080" spans="1:3" ht="14" x14ac:dyDescent="0.3">
      <c r="A1080" s="12"/>
      <c r="B1080" s="13"/>
      <c r="C1080" s="13"/>
    </row>
    <row r="1081" spans="1:3" ht="14" x14ac:dyDescent="0.3">
      <c r="A1081" s="12"/>
      <c r="B1081" s="13"/>
      <c r="C1081" s="13"/>
    </row>
    <row r="1082" spans="1:3" ht="14" x14ac:dyDescent="0.3">
      <c r="A1082" s="12"/>
      <c r="B1082" s="15"/>
      <c r="C1082" s="15"/>
    </row>
    <row r="1083" spans="1:3" ht="14" x14ac:dyDescent="0.3">
      <c r="A1083" s="12"/>
      <c r="B1083" s="13"/>
      <c r="C1083" s="13"/>
    </row>
    <row r="1084" spans="1:3" ht="14" x14ac:dyDescent="0.3">
      <c r="A1084" s="12"/>
      <c r="B1084" s="13"/>
      <c r="C1084" s="13"/>
    </row>
    <row r="1085" spans="1:3" ht="14" x14ac:dyDescent="0.3">
      <c r="A1085" s="12"/>
      <c r="B1085" s="13"/>
      <c r="C1085" s="13"/>
    </row>
    <row r="1086" spans="1:3" ht="14" x14ac:dyDescent="0.3">
      <c r="A1086" s="12"/>
      <c r="B1086" s="13"/>
      <c r="C1086" s="13"/>
    </row>
    <row r="1087" spans="1:3" ht="14" x14ac:dyDescent="0.3">
      <c r="A1087" s="12"/>
      <c r="B1087" s="13"/>
      <c r="C1087" s="13"/>
    </row>
    <row r="1088" spans="1:3" ht="14" x14ac:dyDescent="0.3">
      <c r="A1088" s="12"/>
      <c r="B1088" s="13"/>
      <c r="C1088" s="13"/>
    </row>
    <row r="1089" spans="1:3" ht="14" x14ac:dyDescent="0.3">
      <c r="A1089" s="12"/>
      <c r="B1089" s="13"/>
      <c r="C1089" s="13"/>
    </row>
    <row r="1090" spans="1:3" ht="14" x14ac:dyDescent="0.3">
      <c r="A1090" s="12"/>
      <c r="B1090" s="13"/>
      <c r="C1090" s="13"/>
    </row>
    <row r="1091" spans="1:3" ht="14" x14ac:dyDescent="0.3">
      <c r="A1091" s="12"/>
      <c r="B1091" s="13"/>
      <c r="C1091" s="13"/>
    </row>
    <row r="1092" spans="1:3" ht="14" x14ac:dyDescent="0.3">
      <c r="A1092" s="12"/>
      <c r="B1092" s="13"/>
      <c r="C1092" s="13"/>
    </row>
    <row r="1093" spans="1:3" ht="14" x14ac:dyDescent="0.3">
      <c r="A1093" s="12"/>
      <c r="B1093" s="13"/>
      <c r="C1093" s="13"/>
    </row>
    <row r="1094" spans="1:3" ht="14" x14ac:dyDescent="0.3">
      <c r="A1094" s="12"/>
      <c r="B1094" s="13"/>
      <c r="C1094" s="13"/>
    </row>
    <row r="1095" spans="1:3" ht="14" x14ac:dyDescent="0.3">
      <c r="A1095" s="12"/>
      <c r="B1095" s="13"/>
      <c r="C1095" s="13"/>
    </row>
    <row r="1096" spans="1:3" ht="14" x14ac:dyDescent="0.3">
      <c r="A1096" s="12"/>
      <c r="B1096" s="13"/>
      <c r="C1096" s="13"/>
    </row>
    <row r="1097" spans="1:3" ht="14" x14ac:dyDescent="0.3">
      <c r="A1097" s="12"/>
      <c r="B1097" s="13"/>
      <c r="C1097" s="13"/>
    </row>
    <row r="1098" spans="1:3" ht="14" x14ac:dyDescent="0.3">
      <c r="A1098" s="12"/>
      <c r="B1098" s="13"/>
      <c r="C1098" s="13"/>
    </row>
    <row r="1099" spans="1:3" ht="14" x14ac:dyDescent="0.3">
      <c r="A1099" s="12"/>
      <c r="B1099" s="13"/>
      <c r="C1099" s="13"/>
    </row>
    <row r="1100" spans="1:3" ht="14" x14ac:dyDescent="0.3">
      <c r="A1100" s="12"/>
      <c r="B1100" s="13"/>
      <c r="C1100" s="13"/>
    </row>
    <row r="1101" spans="1:3" ht="14" x14ac:dyDescent="0.3">
      <c r="A1101" s="12"/>
      <c r="B1101" s="13"/>
      <c r="C1101" s="13"/>
    </row>
    <row r="1102" spans="1:3" ht="14" x14ac:dyDescent="0.3">
      <c r="A1102" s="12"/>
      <c r="B1102" s="13"/>
      <c r="C1102" s="13"/>
    </row>
    <row r="1103" spans="1:3" ht="14" x14ac:dyDescent="0.3">
      <c r="A1103" s="12"/>
      <c r="B1103" s="13"/>
      <c r="C1103" s="13"/>
    </row>
    <row r="1104" spans="1:3" ht="14" x14ac:dyDescent="0.3">
      <c r="A1104" s="12"/>
      <c r="B1104" s="13"/>
      <c r="C1104" s="13"/>
    </row>
    <row r="1105" spans="1:3" ht="14" x14ac:dyDescent="0.3">
      <c r="A1105" s="12"/>
      <c r="B1105" s="13"/>
      <c r="C1105" s="13"/>
    </row>
    <row r="1106" spans="1:3" ht="14" x14ac:dyDescent="0.3">
      <c r="A1106" s="12"/>
      <c r="B1106" s="15"/>
      <c r="C1106" s="15"/>
    </row>
    <row r="1107" spans="1:3" ht="14" x14ac:dyDescent="0.3">
      <c r="A1107" s="12"/>
      <c r="B1107" s="13"/>
      <c r="C1107" s="13"/>
    </row>
    <row r="1108" spans="1:3" ht="14" x14ac:dyDescent="0.3">
      <c r="A1108" s="12"/>
      <c r="B1108" s="13"/>
      <c r="C1108" s="13"/>
    </row>
    <row r="1109" spans="1:3" ht="14" x14ac:dyDescent="0.3">
      <c r="A1109" s="12"/>
      <c r="B1109" s="13"/>
      <c r="C1109" s="13"/>
    </row>
    <row r="1110" spans="1:3" ht="14" x14ac:dyDescent="0.3">
      <c r="A1110" s="12"/>
      <c r="B1110" s="13"/>
      <c r="C1110" s="13"/>
    </row>
    <row r="1111" spans="1:3" ht="14" x14ac:dyDescent="0.3">
      <c r="A1111" s="12"/>
      <c r="B1111" s="13"/>
      <c r="C1111" s="13"/>
    </row>
    <row r="1112" spans="1:3" ht="14" x14ac:dyDescent="0.3">
      <c r="A1112" s="12"/>
      <c r="B1112" s="13"/>
      <c r="C1112" s="13"/>
    </row>
    <row r="1113" spans="1:3" ht="14" x14ac:dyDescent="0.3">
      <c r="A1113" s="12"/>
      <c r="B1113" s="13"/>
      <c r="C1113" s="13"/>
    </row>
    <row r="1114" spans="1:3" ht="14" x14ac:dyDescent="0.3">
      <c r="A1114" s="12"/>
      <c r="B1114" s="13"/>
      <c r="C1114" s="13"/>
    </row>
    <row r="1115" spans="1:3" ht="14" x14ac:dyDescent="0.3">
      <c r="A1115" s="12"/>
      <c r="B1115" s="13"/>
      <c r="C1115" s="13"/>
    </row>
    <row r="1116" spans="1:3" ht="14" x14ac:dyDescent="0.3">
      <c r="A1116" s="12"/>
      <c r="B1116" s="13"/>
      <c r="C1116" s="13"/>
    </row>
    <row r="1117" spans="1:3" ht="14" x14ac:dyDescent="0.3">
      <c r="A1117" s="12"/>
      <c r="B1117" s="13"/>
      <c r="C1117" s="13"/>
    </row>
    <row r="1118" spans="1:3" ht="14" x14ac:dyDescent="0.3">
      <c r="A1118" s="12"/>
      <c r="B1118" s="13"/>
      <c r="C1118" s="13"/>
    </row>
    <row r="1119" spans="1:3" ht="14" x14ac:dyDescent="0.3">
      <c r="A1119" s="12"/>
      <c r="B1119" s="13"/>
      <c r="C1119" s="13"/>
    </row>
    <row r="1120" spans="1:3" ht="14" x14ac:dyDescent="0.3">
      <c r="A1120" s="12"/>
      <c r="B1120" s="13"/>
      <c r="C1120" s="13"/>
    </row>
    <row r="1121" spans="1:3" ht="14" x14ac:dyDescent="0.3">
      <c r="A1121" s="12"/>
      <c r="B1121" s="13"/>
      <c r="C1121" s="13"/>
    </row>
    <row r="1122" spans="1:3" ht="14" x14ac:dyDescent="0.3">
      <c r="A1122" s="12"/>
      <c r="B1122" s="13"/>
      <c r="C1122" s="13"/>
    </row>
    <row r="1123" spans="1:3" ht="14" x14ac:dyDescent="0.3">
      <c r="A1123" s="12"/>
      <c r="B1123" s="13"/>
      <c r="C1123" s="13"/>
    </row>
    <row r="1124" spans="1:3" ht="14" x14ac:dyDescent="0.3">
      <c r="A1124" s="12"/>
      <c r="B1124" s="13"/>
      <c r="C1124" s="13"/>
    </row>
    <row r="1125" spans="1:3" ht="14" x14ac:dyDescent="0.3">
      <c r="A1125" s="12"/>
      <c r="B1125" s="13"/>
      <c r="C1125" s="13"/>
    </row>
    <row r="1126" spans="1:3" ht="14" x14ac:dyDescent="0.3">
      <c r="A1126" s="12"/>
      <c r="B1126" s="13"/>
      <c r="C1126" s="13"/>
    </row>
    <row r="1127" spans="1:3" ht="14" x14ac:dyDescent="0.3">
      <c r="A1127" s="12"/>
      <c r="B1127" s="13"/>
      <c r="C1127" s="13"/>
    </row>
    <row r="1128" spans="1:3" ht="14" x14ac:dyDescent="0.3">
      <c r="A1128" s="12"/>
      <c r="B1128" s="13"/>
      <c r="C1128" s="13"/>
    </row>
    <row r="1129" spans="1:3" ht="14" x14ac:dyDescent="0.3">
      <c r="A1129" s="12"/>
      <c r="B1129" s="13"/>
      <c r="C1129" s="13"/>
    </row>
    <row r="1130" spans="1:3" ht="14" x14ac:dyDescent="0.3">
      <c r="A1130" s="12"/>
      <c r="B1130" s="15"/>
      <c r="C1130" s="15"/>
    </row>
    <row r="1131" spans="1:3" ht="14" x14ac:dyDescent="0.3">
      <c r="A1131" s="12"/>
      <c r="B1131" s="13"/>
      <c r="C1131" s="13"/>
    </row>
    <row r="1132" spans="1:3" ht="14" x14ac:dyDescent="0.3">
      <c r="A1132" s="12"/>
      <c r="B1132" s="13"/>
      <c r="C1132" s="13"/>
    </row>
    <row r="1133" spans="1:3" ht="14" x14ac:dyDescent="0.3">
      <c r="A1133" s="12"/>
      <c r="B1133" s="13"/>
      <c r="C1133" s="13"/>
    </row>
    <row r="1134" spans="1:3" ht="14" x14ac:dyDescent="0.3">
      <c r="A1134" s="12"/>
      <c r="B1134" s="13"/>
      <c r="C1134" s="13"/>
    </row>
    <row r="1135" spans="1:3" ht="14" x14ac:dyDescent="0.3">
      <c r="A1135" s="12"/>
      <c r="B1135" s="13"/>
      <c r="C1135" s="13"/>
    </row>
    <row r="1136" spans="1:3" ht="14" x14ac:dyDescent="0.3">
      <c r="A1136" s="12"/>
      <c r="B1136" s="13"/>
      <c r="C1136" s="13"/>
    </row>
    <row r="1137" spans="1:3" ht="14" x14ac:dyDescent="0.3">
      <c r="A1137" s="12"/>
      <c r="B1137" s="13"/>
      <c r="C1137" s="13"/>
    </row>
    <row r="1138" spans="1:3" ht="14" x14ac:dyDescent="0.3">
      <c r="A1138" s="12"/>
      <c r="B1138" s="13"/>
      <c r="C1138" s="13"/>
    </row>
    <row r="1139" spans="1:3" ht="14" x14ac:dyDescent="0.3">
      <c r="A1139" s="12"/>
      <c r="B1139" s="13"/>
      <c r="C1139" s="13"/>
    </row>
    <row r="1140" spans="1:3" ht="14" x14ac:dyDescent="0.3">
      <c r="A1140" s="12"/>
      <c r="B1140" s="13"/>
      <c r="C1140" s="13"/>
    </row>
    <row r="1141" spans="1:3" ht="14" x14ac:dyDescent="0.3">
      <c r="A1141" s="12"/>
      <c r="B1141" s="13"/>
      <c r="C1141" s="13"/>
    </row>
    <row r="1142" spans="1:3" ht="14" x14ac:dyDescent="0.3">
      <c r="A1142" s="12"/>
      <c r="B1142" s="13"/>
      <c r="C1142" s="13"/>
    </row>
    <row r="1143" spans="1:3" ht="14" x14ac:dyDescent="0.3">
      <c r="A1143" s="12"/>
      <c r="B1143" s="13"/>
      <c r="C1143" s="13"/>
    </row>
    <row r="1144" spans="1:3" ht="14" x14ac:dyDescent="0.3">
      <c r="A1144" s="12"/>
      <c r="B1144" s="13"/>
      <c r="C1144" s="13"/>
    </row>
    <row r="1145" spans="1:3" ht="14" x14ac:dyDescent="0.3">
      <c r="A1145" s="12"/>
      <c r="B1145" s="13"/>
      <c r="C1145" s="13"/>
    </row>
    <row r="1146" spans="1:3" ht="14" x14ac:dyDescent="0.3">
      <c r="A1146" s="12"/>
      <c r="B1146" s="13"/>
      <c r="C1146" s="13"/>
    </row>
    <row r="1147" spans="1:3" ht="14" x14ac:dyDescent="0.3">
      <c r="A1147" s="12"/>
      <c r="B1147" s="13"/>
      <c r="C1147" s="13"/>
    </row>
    <row r="1148" spans="1:3" ht="14" x14ac:dyDescent="0.3">
      <c r="A1148" s="12"/>
      <c r="B1148" s="13"/>
      <c r="C1148" s="13"/>
    </row>
    <row r="1149" spans="1:3" ht="14" x14ac:dyDescent="0.3">
      <c r="A1149" s="12"/>
      <c r="B1149" s="13"/>
      <c r="C1149" s="13"/>
    </row>
    <row r="1150" spans="1:3" ht="14" x14ac:dyDescent="0.3">
      <c r="A1150" s="12"/>
      <c r="B1150" s="13"/>
      <c r="C1150" s="13"/>
    </row>
    <row r="1151" spans="1:3" ht="14" x14ac:dyDescent="0.3">
      <c r="A1151" s="12"/>
      <c r="B1151" s="13"/>
      <c r="C1151" s="13"/>
    </row>
    <row r="1152" spans="1:3" ht="14" x14ac:dyDescent="0.3">
      <c r="A1152" s="12"/>
      <c r="B1152" s="13"/>
      <c r="C1152" s="13"/>
    </row>
    <row r="1153" spans="1:3" ht="14" x14ac:dyDescent="0.3">
      <c r="A1153" s="12"/>
      <c r="B1153" s="13"/>
      <c r="C1153" s="13"/>
    </row>
    <row r="1154" spans="1:3" ht="14" x14ac:dyDescent="0.3">
      <c r="A1154" s="12"/>
      <c r="B1154" s="15"/>
      <c r="C1154" s="15"/>
    </row>
    <row r="1155" spans="1:3" ht="14" x14ac:dyDescent="0.3">
      <c r="A1155" s="12"/>
      <c r="B1155" s="13"/>
      <c r="C1155" s="13"/>
    </row>
    <row r="1156" spans="1:3" ht="14" x14ac:dyDescent="0.3">
      <c r="A1156" s="12"/>
      <c r="B1156" s="13"/>
      <c r="C1156" s="13"/>
    </row>
    <row r="1157" spans="1:3" ht="14" x14ac:dyDescent="0.3">
      <c r="A1157" s="12"/>
      <c r="B1157" s="13"/>
      <c r="C1157" s="13"/>
    </row>
    <row r="1158" spans="1:3" ht="14" x14ac:dyDescent="0.3">
      <c r="A1158" s="12"/>
      <c r="B1158" s="13"/>
      <c r="C1158" s="13"/>
    </row>
    <row r="1159" spans="1:3" ht="14" x14ac:dyDescent="0.3">
      <c r="A1159" s="12"/>
      <c r="B1159" s="13"/>
      <c r="C1159" s="13"/>
    </row>
    <row r="1160" spans="1:3" ht="14" x14ac:dyDescent="0.3">
      <c r="A1160" s="12"/>
      <c r="B1160" s="13"/>
      <c r="C1160" s="13"/>
    </row>
    <row r="1161" spans="1:3" ht="14" x14ac:dyDescent="0.3">
      <c r="A1161" s="12"/>
      <c r="B1161" s="13"/>
      <c r="C1161" s="13"/>
    </row>
    <row r="1162" spans="1:3" ht="14" x14ac:dyDescent="0.3">
      <c r="A1162" s="12"/>
      <c r="B1162" s="13"/>
      <c r="C1162" s="13"/>
    </row>
    <row r="1163" spans="1:3" ht="14" x14ac:dyDescent="0.3">
      <c r="A1163" s="12"/>
      <c r="B1163" s="13"/>
      <c r="C1163" s="13"/>
    </row>
    <row r="1164" spans="1:3" ht="14" x14ac:dyDescent="0.3">
      <c r="A1164" s="12"/>
      <c r="B1164" s="13"/>
      <c r="C1164" s="13"/>
    </row>
    <row r="1165" spans="1:3" ht="14" x14ac:dyDescent="0.3">
      <c r="A1165" s="12"/>
      <c r="B1165" s="13"/>
      <c r="C1165" s="13"/>
    </row>
    <row r="1166" spans="1:3" ht="14" x14ac:dyDescent="0.3">
      <c r="A1166" s="12"/>
      <c r="B1166" s="13"/>
      <c r="C1166" s="13"/>
    </row>
    <row r="1167" spans="1:3" ht="14" x14ac:dyDescent="0.3">
      <c r="A1167" s="12"/>
      <c r="B1167" s="13"/>
      <c r="C1167" s="13"/>
    </row>
    <row r="1168" spans="1:3" ht="14" x14ac:dyDescent="0.3">
      <c r="A1168" s="12"/>
      <c r="B1168" s="13"/>
      <c r="C1168" s="13"/>
    </row>
    <row r="1169" spans="1:3" ht="14" x14ac:dyDescent="0.3">
      <c r="A1169" s="12"/>
      <c r="B1169" s="13"/>
      <c r="C1169" s="13"/>
    </row>
    <row r="1170" spans="1:3" ht="14" x14ac:dyDescent="0.3">
      <c r="A1170" s="12"/>
      <c r="B1170" s="13"/>
      <c r="C1170" s="13"/>
    </row>
    <row r="1171" spans="1:3" ht="14" x14ac:dyDescent="0.3">
      <c r="A1171" s="12"/>
      <c r="B1171" s="13"/>
      <c r="C1171" s="13"/>
    </row>
    <row r="1172" spans="1:3" ht="14" x14ac:dyDescent="0.3">
      <c r="A1172" s="12"/>
      <c r="B1172" s="13"/>
      <c r="C1172" s="13"/>
    </row>
    <row r="1173" spans="1:3" ht="14" x14ac:dyDescent="0.3">
      <c r="A1173" s="12"/>
      <c r="B1173" s="13"/>
      <c r="C1173" s="13"/>
    </row>
    <row r="1174" spans="1:3" ht="14" x14ac:dyDescent="0.3">
      <c r="A1174" s="12"/>
      <c r="B1174" s="13"/>
      <c r="C1174" s="13"/>
    </row>
    <row r="1175" spans="1:3" ht="14" x14ac:dyDescent="0.3">
      <c r="A1175" s="12"/>
      <c r="B1175" s="13"/>
      <c r="C1175" s="13"/>
    </row>
    <row r="1176" spans="1:3" ht="14" x14ac:dyDescent="0.3">
      <c r="A1176" s="12"/>
      <c r="B1176" s="13"/>
      <c r="C1176" s="13"/>
    </row>
    <row r="1177" spans="1:3" ht="14" x14ac:dyDescent="0.3">
      <c r="A1177" s="12"/>
      <c r="B1177" s="13"/>
      <c r="C1177" s="13"/>
    </row>
    <row r="1178" spans="1:3" ht="14" x14ac:dyDescent="0.3">
      <c r="A1178" s="12"/>
      <c r="B1178" s="15"/>
      <c r="C1178" s="15"/>
    </row>
    <row r="1179" spans="1:3" ht="14" x14ac:dyDescent="0.3">
      <c r="A1179" s="12"/>
      <c r="B1179" s="13"/>
      <c r="C1179" s="13"/>
    </row>
    <row r="1180" spans="1:3" ht="14" x14ac:dyDescent="0.3">
      <c r="A1180" s="12"/>
      <c r="B1180" s="13"/>
      <c r="C1180" s="13"/>
    </row>
    <row r="1181" spans="1:3" ht="14" x14ac:dyDescent="0.3">
      <c r="A1181" s="12"/>
      <c r="B1181" s="13"/>
      <c r="C1181" s="13"/>
    </row>
    <row r="1182" spans="1:3" ht="14" x14ac:dyDescent="0.3">
      <c r="A1182" s="12"/>
      <c r="B1182" s="13"/>
      <c r="C1182" s="13"/>
    </row>
    <row r="1183" spans="1:3" ht="14" x14ac:dyDescent="0.3">
      <c r="A1183" s="12"/>
      <c r="B1183" s="13"/>
      <c r="C1183" s="13"/>
    </row>
    <row r="1184" spans="1:3" ht="14" x14ac:dyDescent="0.3">
      <c r="A1184" s="12"/>
      <c r="B1184" s="13"/>
      <c r="C1184" s="13"/>
    </row>
    <row r="1185" spans="1:3" ht="14" x14ac:dyDescent="0.3">
      <c r="A1185" s="12"/>
      <c r="B1185" s="13"/>
      <c r="C1185" s="13"/>
    </row>
    <row r="1186" spans="1:3" ht="14" x14ac:dyDescent="0.3">
      <c r="A1186" s="12"/>
      <c r="B1186" s="13"/>
      <c r="C1186" s="13"/>
    </row>
    <row r="1187" spans="1:3" ht="14" x14ac:dyDescent="0.3">
      <c r="A1187" s="12"/>
      <c r="B1187" s="13"/>
      <c r="C1187" s="13"/>
    </row>
    <row r="1188" spans="1:3" ht="14" x14ac:dyDescent="0.3">
      <c r="A1188" s="12"/>
      <c r="B1188" s="13"/>
      <c r="C1188" s="13"/>
    </row>
    <row r="1189" spans="1:3" ht="14" x14ac:dyDescent="0.3">
      <c r="A1189" s="12"/>
      <c r="B1189" s="13"/>
      <c r="C1189" s="13"/>
    </row>
    <row r="1190" spans="1:3" ht="14" x14ac:dyDescent="0.3">
      <c r="A1190" s="12"/>
      <c r="B1190" s="13"/>
      <c r="C1190" s="13"/>
    </row>
    <row r="1191" spans="1:3" ht="14" x14ac:dyDescent="0.3">
      <c r="A1191" s="12"/>
      <c r="B1191" s="13"/>
      <c r="C1191" s="13"/>
    </row>
    <row r="1192" spans="1:3" ht="14" x14ac:dyDescent="0.3">
      <c r="A1192" s="12"/>
      <c r="B1192" s="13"/>
      <c r="C1192" s="13"/>
    </row>
    <row r="1193" spans="1:3" ht="14" x14ac:dyDescent="0.3">
      <c r="A1193" s="12"/>
      <c r="B1193" s="13"/>
      <c r="C1193" s="13"/>
    </row>
    <row r="1194" spans="1:3" ht="14" x14ac:dyDescent="0.3">
      <c r="A1194" s="12"/>
      <c r="B1194" s="13"/>
      <c r="C1194" s="13"/>
    </row>
    <row r="1195" spans="1:3" ht="14" x14ac:dyDescent="0.3">
      <c r="A1195" s="12"/>
      <c r="B1195" s="13"/>
      <c r="C1195" s="13"/>
    </row>
    <row r="1196" spans="1:3" ht="14" x14ac:dyDescent="0.3">
      <c r="A1196" s="12"/>
      <c r="B1196" s="13"/>
      <c r="C1196" s="13"/>
    </row>
    <row r="1197" spans="1:3" ht="14" x14ac:dyDescent="0.3">
      <c r="A1197" s="12"/>
      <c r="B1197" s="13"/>
      <c r="C1197" s="13"/>
    </row>
    <row r="1198" spans="1:3" ht="14" x14ac:dyDescent="0.3">
      <c r="A1198" s="12"/>
      <c r="B1198" s="13"/>
      <c r="C1198" s="13"/>
    </row>
    <row r="1199" spans="1:3" ht="14" x14ac:dyDescent="0.3">
      <c r="A1199" s="12"/>
      <c r="B1199" s="13"/>
      <c r="C1199" s="13"/>
    </row>
    <row r="1200" spans="1:3" ht="14" x14ac:dyDescent="0.3">
      <c r="A1200" s="12"/>
      <c r="B1200" s="13"/>
      <c r="C1200" s="13"/>
    </row>
    <row r="1201" spans="1:3" ht="14" x14ac:dyDescent="0.3">
      <c r="A1201" s="12"/>
      <c r="B1201" s="13"/>
      <c r="C1201" s="13"/>
    </row>
    <row r="1202" spans="1:3" ht="14" x14ac:dyDescent="0.3">
      <c r="A1202" s="12"/>
      <c r="B1202" s="15"/>
      <c r="C1202" s="15"/>
    </row>
    <row r="1203" spans="1:3" ht="14" x14ac:dyDescent="0.3">
      <c r="A1203" s="12"/>
      <c r="B1203" s="13"/>
      <c r="C1203" s="13"/>
    </row>
    <row r="1204" spans="1:3" ht="14" x14ac:dyDescent="0.3">
      <c r="A1204" s="12"/>
      <c r="B1204" s="13"/>
      <c r="C1204" s="13"/>
    </row>
    <row r="1205" spans="1:3" ht="14" x14ac:dyDescent="0.3">
      <c r="A1205" s="12"/>
      <c r="B1205" s="13"/>
      <c r="C1205" s="13"/>
    </row>
    <row r="1206" spans="1:3" ht="14" x14ac:dyDescent="0.3">
      <c r="A1206" s="12"/>
      <c r="B1206" s="13"/>
      <c r="C1206" s="13"/>
    </row>
    <row r="1207" spans="1:3" ht="14" x14ac:dyDescent="0.3">
      <c r="A1207" s="12"/>
      <c r="B1207" s="13"/>
      <c r="C1207" s="13"/>
    </row>
    <row r="1208" spans="1:3" ht="14" x14ac:dyDescent="0.3">
      <c r="A1208" s="12"/>
      <c r="B1208" s="13"/>
      <c r="C1208" s="13"/>
    </row>
    <row r="1209" spans="1:3" ht="14" x14ac:dyDescent="0.3">
      <c r="A1209" s="12"/>
      <c r="B1209" s="13"/>
      <c r="C1209" s="13"/>
    </row>
    <row r="1210" spans="1:3" ht="14" x14ac:dyDescent="0.3">
      <c r="A1210" s="12"/>
      <c r="B1210" s="13"/>
      <c r="C1210" s="13"/>
    </row>
    <row r="1211" spans="1:3" ht="14" x14ac:dyDescent="0.3">
      <c r="A1211" s="12"/>
      <c r="B1211" s="13"/>
      <c r="C1211" s="13"/>
    </row>
    <row r="1212" spans="1:3" ht="14" x14ac:dyDescent="0.3">
      <c r="A1212" s="12"/>
      <c r="B1212" s="13"/>
      <c r="C1212" s="13"/>
    </row>
    <row r="1213" spans="1:3" ht="14" x14ac:dyDescent="0.3">
      <c r="A1213" s="12"/>
      <c r="B1213" s="13"/>
      <c r="C1213" s="13"/>
    </row>
    <row r="1214" spans="1:3" ht="14" x14ac:dyDescent="0.3">
      <c r="A1214" s="12"/>
      <c r="B1214" s="13"/>
      <c r="C1214" s="13"/>
    </row>
    <row r="1215" spans="1:3" ht="14" x14ac:dyDescent="0.3">
      <c r="A1215" s="12"/>
      <c r="B1215" s="13"/>
      <c r="C1215" s="13"/>
    </row>
    <row r="1216" spans="1:3" ht="14" x14ac:dyDescent="0.3">
      <c r="A1216" s="12"/>
      <c r="B1216" s="13"/>
      <c r="C1216" s="13"/>
    </row>
    <row r="1217" spans="1:3" ht="14" x14ac:dyDescent="0.3">
      <c r="A1217" s="12"/>
      <c r="B1217" s="13"/>
      <c r="C1217" s="13"/>
    </row>
    <row r="1218" spans="1:3" ht="14" x14ac:dyDescent="0.3">
      <c r="A1218" s="12"/>
      <c r="B1218" s="13"/>
      <c r="C1218" s="13"/>
    </row>
    <row r="1219" spans="1:3" ht="14" x14ac:dyDescent="0.3">
      <c r="A1219" s="12"/>
      <c r="B1219" s="13"/>
      <c r="C1219" s="13"/>
    </row>
    <row r="1220" spans="1:3" ht="14" x14ac:dyDescent="0.3">
      <c r="A1220" s="12"/>
      <c r="B1220" s="13"/>
      <c r="C1220" s="13"/>
    </row>
    <row r="1221" spans="1:3" ht="14" x14ac:dyDescent="0.3">
      <c r="A1221" s="12"/>
      <c r="B1221" s="13"/>
      <c r="C1221" s="13"/>
    </row>
    <row r="1222" spans="1:3" ht="14" x14ac:dyDescent="0.3">
      <c r="A1222" s="12"/>
      <c r="B1222" s="13"/>
      <c r="C1222" s="13"/>
    </row>
    <row r="1223" spans="1:3" ht="14" x14ac:dyDescent="0.3">
      <c r="A1223" s="12"/>
      <c r="B1223" s="13"/>
      <c r="C1223" s="13"/>
    </row>
    <row r="1224" spans="1:3" ht="14" x14ac:dyDescent="0.3">
      <c r="A1224" s="12"/>
      <c r="B1224" s="13"/>
      <c r="C1224" s="13"/>
    </row>
    <row r="1225" spans="1:3" ht="14" x14ac:dyDescent="0.3">
      <c r="A1225" s="12"/>
      <c r="B1225" s="13"/>
      <c r="C1225" s="13"/>
    </row>
    <row r="1226" spans="1:3" ht="14" x14ac:dyDescent="0.3">
      <c r="A1226" s="12"/>
      <c r="B1226" s="15"/>
      <c r="C1226" s="15"/>
    </row>
    <row r="1227" spans="1:3" ht="14" x14ac:dyDescent="0.3">
      <c r="A1227" s="12"/>
      <c r="B1227" s="13"/>
      <c r="C1227" s="13"/>
    </row>
    <row r="1228" spans="1:3" ht="14" x14ac:dyDescent="0.3">
      <c r="A1228" s="12"/>
      <c r="B1228" s="13"/>
      <c r="C1228" s="13"/>
    </row>
    <row r="1229" spans="1:3" ht="14" x14ac:dyDescent="0.3">
      <c r="A1229" s="12"/>
      <c r="B1229" s="13"/>
      <c r="C1229" s="13"/>
    </row>
    <row r="1230" spans="1:3" ht="14" x14ac:dyDescent="0.3">
      <c r="A1230" s="12"/>
      <c r="B1230" s="13"/>
      <c r="C1230" s="13"/>
    </row>
    <row r="1231" spans="1:3" ht="14" x14ac:dyDescent="0.3">
      <c r="A1231" s="12"/>
      <c r="B1231" s="13"/>
      <c r="C1231" s="13"/>
    </row>
    <row r="1232" spans="1:3" ht="14" x14ac:dyDescent="0.3">
      <c r="A1232" s="12"/>
      <c r="B1232" s="13"/>
      <c r="C1232" s="13"/>
    </row>
    <row r="1233" spans="1:3" ht="14" x14ac:dyDescent="0.3">
      <c r="A1233" s="12"/>
      <c r="B1233" s="13"/>
      <c r="C1233" s="13"/>
    </row>
    <row r="1234" spans="1:3" ht="14" x14ac:dyDescent="0.3">
      <c r="A1234" s="12"/>
      <c r="B1234" s="13"/>
      <c r="C1234" s="13"/>
    </row>
    <row r="1235" spans="1:3" ht="14" x14ac:dyDescent="0.3">
      <c r="A1235" s="12"/>
      <c r="B1235" s="13"/>
      <c r="C1235" s="13"/>
    </row>
    <row r="1236" spans="1:3" ht="14" x14ac:dyDescent="0.3">
      <c r="A1236" s="12"/>
      <c r="B1236" s="13"/>
      <c r="C1236" s="13"/>
    </row>
    <row r="1237" spans="1:3" ht="14" x14ac:dyDescent="0.3">
      <c r="A1237" s="12"/>
      <c r="B1237" s="13"/>
      <c r="C1237" s="13"/>
    </row>
    <row r="1238" spans="1:3" ht="14" x14ac:dyDescent="0.3">
      <c r="A1238" s="12"/>
      <c r="B1238" s="13"/>
      <c r="C1238" s="13"/>
    </row>
    <row r="1239" spans="1:3" ht="14" x14ac:dyDescent="0.3">
      <c r="A1239" s="12"/>
      <c r="B1239" s="13"/>
      <c r="C1239" s="13"/>
    </row>
    <row r="1240" spans="1:3" ht="14" x14ac:dyDescent="0.3">
      <c r="A1240" s="12"/>
      <c r="B1240" s="13"/>
      <c r="C1240" s="13"/>
    </row>
    <row r="1241" spans="1:3" ht="14" x14ac:dyDescent="0.3">
      <c r="A1241" s="12"/>
      <c r="B1241" s="13"/>
      <c r="C1241" s="13"/>
    </row>
    <row r="1242" spans="1:3" ht="14" x14ac:dyDescent="0.3">
      <c r="A1242" s="12"/>
      <c r="B1242" s="13"/>
      <c r="C1242" s="13"/>
    </row>
    <row r="1243" spans="1:3" ht="14" x14ac:dyDescent="0.3">
      <c r="A1243" s="12"/>
      <c r="B1243" s="13"/>
      <c r="C1243" s="13"/>
    </row>
    <row r="1244" spans="1:3" ht="14" x14ac:dyDescent="0.3">
      <c r="A1244" s="12"/>
      <c r="B1244" s="13"/>
      <c r="C1244" s="13"/>
    </row>
    <row r="1245" spans="1:3" ht="14" x14ac:dyDescent="0.3">
      <c r="A1245" s="12"/>
      <c r="B1245" s="13"/>
      <c r="C1245" s="13"/>
    </row>
    <row r="1246" spans="1:3" ht="14" x14ac:dyDescent="0.3">
      <c r="A1246" s="12"/>
      <c r="B1246" s="13"/>
      <c r="C1246" s="13"/>
    </row>
    <row r="1247" spans="1:3" ht="14" x14ac:dyDescent="0.3">
      <c r="A1247" s="12"/>
      <c r="B1247" s="13"/>
      <c r="C1247" s="13"/>
    </row>
    <row r="1248" spans="1:3" ht="14" x14ac:dyDescent="0.3">
      <c r="A1248" s="12"/>
      <c r="B1248" s="13"/>
      <c r="C1248" s="13"/>
    </row>
    <row r="1249" spans="1:3" ht="14" x14ac:dyDescent="0.3">
      <c r="A1249" s="12"/>
      <c r="B1249" s="13"/>
      <c r="C1249" s="13"/>
    </row>
    <row r="1250" spans="1:3" ht="14" x14ac:dyDescent="0.3">
      <c r="A1250" s="12"/>
      <c r="B1250" s="15"/>
      <c r="C1250" s="15"/>
    </row>
    <row r="1251" spans="1:3" ht="14" x14ac:dyDescent="0.3">
      <c r="A1251" s="12"/>
      <c r="B1251" s="13"/>
      <c r="C1251" s="13"/>
    </row>
    <row r="1252" spans="1:3" ht="14" x14ac:dyDescent="0.3">
      <c r="A1252" s="12"/>
      <c r="B1252" s="13"/>
      <c r="C1252" s="13"/>
    </row>
    <row r="1253" spans="1:3" ht="14" x14ac:dyDescent="0.3">
      <c r="A1253" s="12"/>
      <c r="B1253" s="13"/>
      <c r="C1253" s="13"/>
    </row>
    <row r="1254" spans="1:3" ht="14" x14ac:dyDescent="0.3">
      <c r="A1254" s="12"/>
      <c r="B1254" s="13"/>
      <c r="C1254" s="13"/>
    </row>
    <row r="1255" spans="1:3" ht="14" x14ac:dyDescent="0.3">
      <c r="A1255" s="12"/>
      <c r="B1255" s="13"/>
      <c r="C1255" s="13"/>
    </row>
    <row r="1256" spans="1:3" ht="14" x14ac:dyDescent="0.3">
      <c r="A1256" s="12"/>
      <c r="B1256" s="13"/>
      <c r="C1256" s="13"/>
    </row>
    <row r="1257" spans="1:3" ht="14" x14ac:dyDescent="0.3">
      <c r="A1257" s="12"/>
      <c r="B1257" s="13"/>
      <c r="C1257" s="13"/>
    </row>
    <row r="1258" spans="1:3" ht="14" x14ac:dyDescent="0.3">
      <c r="A1258" s="12"/>
      <c r="B1258" s="13"/>
      <c r="C1258" s="13"/>
    </row>
    <row r="1259" spans="1:3" ht="14" x14ac:dyDescent="0.3">
      <c r="A1259" s="12"/>
      <c r="B1259" s="13"/>
      <c r="C1259" s="13"/>
    </row>
    <row r="1260" spans="1:3" ht="14" x14ac:dyDescent="0.3">
      <c r="A1260" s="12"/>
      <c r="B1260" s="13"/>
      <c r="C1260" s="13"/>
    </row>
    <row r="1261" spans="1:3" ht="14" x14ac:dyDescent="0.3">
      <c r="A1261" s="12"/>
      <c r="B1261" s="13"/>
      <c r="C1261" s="13"/>
    </row>
    <row r="1262" spans="1:3" ht="14" x14ac:dyDescent="0.3">
      <c r="A1262" s="12"/>
      <c r="B1262" s="13"/>
      <c r="C1262" s="13"/>
    </row>
    <row r="1263" spans="1:3" ht="14" x14ac:dyDescent="0.3">
      <c r="A1263" s="12"/>
      <c r="B1263" s="13"/>
      <c r="C1263" s="13"/>
    </row>
    <row r="1264" spans="1:3" ht="14" x14ac:dyDescent="0.3">
      <c r="A1264" s="12"/>
      <c r="B1264" s="13"/>
      <c r="C1264" s="13"/>
    </row>
    <row r="1265" spans="1:3" ht="14" x14ac:dyDescent="0.3">
      <c r="A1265" s="12"/>
      <c r="B1265" s="13"/>
      <c r="C1265" s="13"/>
    </row>
    <row r="1266" spans="1:3" ht="14" x14ac:dyDescent="0.3">
      <c r="A1266" s="12"/>
      <c r="B1266" s="13"/>
      <c r="C1266" s="13"/>
    </row>
    <row r="1267" spans="1:3" ht="14" x14ac:dyDescent="0.3">
      <c r="A1267" s="12"/>
      <c r="B1267" s="13"/>
      <c r="C1267" s="13"/>
    </row>
    <row r="1268" spans="1:3" ht="14" x14ac:dyDescent="0.3">
      <c r="A1268" s="12"/>
      <c r="B1268" s="13"/>
      <c r="C1268" s="13"/>
    </row>
    <row r="1269" spans="1:3" ht="14" x14ac:dyDescent="0.3">
      <c r="A1269" s="12"/>
      <c r="B1269" s="13"/>
      <c r="C1269" s="13"/>
    </row>
    <row r="1270" spans="1:3" ht="14" x14ac:dyDescent="0.3">
      <c r="A1270" s="12"/>
      <c r="B1270" s="13"/>
      <c r="C1270" s="13"/>
    </row>
    <row r="1271" spans="1:3" ht="14" x14ac:dyDescent="0.3">
      <c r="A1271" s="12"/>
      <c r="B1271" s="13"/>
      <c r="C1271" s="13"/>
    </row>
    <row r="1272" spans="1:3" ht="14" x14ac:dyDescent="0.3">
      <c r="A1272" s="12"/>
      <c r="B1272" s="13"/>
      <c r="C1272" s="13"/>
    </row>
    <row r="1273" spans="1:3" ht="14" x14ac:dyDescent="0.3">
      <c r="A1273" s="12"/>
      <c r="B1273" s="13"/>
      <c r="C1273" s="13"/>
    </row>
    <row r="1274" spans="1:3" ht="14" x14ac:dyDescent="0.3">
      <c r="A1274" s="12"/>
      <c r="B1274" s="15"/>
      <c r="C1274" s="15"/>
    </row>
    <row r="1275" spans="1:3" ht="14" x14ac:dyDescent="0.3">
      <c r="A1275" s="12"/>
      <c r="B1275" s="13"/>
      <c r="C1275" s="13"/>
    </row>
    <row r="1276" spans="1:3" ht="14" x14ac:dyDescent="0.3">
      <c r="A1276" s="12"/>
      <c r="B1276" s="13"/>
      <c r="C1276" s="13"/>
    </row>
    <row r="1277" spans="1:3" ht="14" x14ac:dyDescent="0.3">
      <c r="A1277" s="12"/>
      <c r="B1277" s="13"/>
      <c r="C1277" s="13"/>
    </row>
    <row r="1278" spans="1:3" ht="14" x14ac:dyDescent="0.3">
      <c r="A1278" s="12"/>
      <c r="B1278" s="13"/>
      <c r="C1278" s="13"/>
    </row>
    <row r="1279" spans="1:3" ht="14" x14ac:dyDescent="0.3">
      <c r="A1279" s="12"/>
      <c r="B1279" s="13"/>
      <c r="C1279" s="13"/>
    </row>
    <row r="1280" spans="1:3" ht="14" x14ac:dyDescent="0.3">
      <c r="A1280" s="12"/>
      <c r="B1280" s="13"/>
      <c r="C1280" s="13"/>
    </row>
    <row r="1281" spans="1:3" ht="14" x14ac:dyDescent="0.3">
      <c r="A1281" s="12"/>
      <c r="B1281" s="13"/>
      <c r="C1281" s="13"/>
    </row>
    <row r="1282" spans="1:3" ht="14" x14ac:dyDescent="0.3">
      <c r="A1282" s="12"/>
      <c r="B1282" s="13"/>
      <c r="C1282" s="13"/>
    </row>
    <row r="1283" spans="1:3" ht="14" x14ac:dyDescent="0.3">
      <c r="A1283" s="12"/>
      <c r="B1283" s="13"/>
      <c r="C1283" s="13"/>
    </row>
    <row r="1284" spans="1:3" ht="14" x14ac:dyDescent="0.3">
      <c r="A1284" s="12"/>
      <c r="B1284" s="13"/>
      <c r="C1284" s="13"/>
    </row>
    <row r="1285" spans="1:3" ht="14" x14ac:dyDescent="0.3">
      <c r="A1285" s="12"/>
      <c r="B1285" s="13"/>
      <c r="C1285" s="13"/>
    </row>
    <row r="1286" spans="1:3" ht="14" x14ac:dyDescent="0.3">
      <c r="A1286" s="12"/>
      <c r="B1286" s="13"/>
      <c r="C1286" s="13"/>
    </row>
    <row r="1287" spans="1:3" ht="14" x14ac:dyDescent="0.3">
      <c r="A1287" s="12"/>
      <c r="B1287" s="13"/>
      <c r="C1287" s="13"/>
    </row>
    <row r="1288" spans="1:3" ht="14" x14ac:dyDescent="0.3">
      <c r="A1288" s="12"/>
      <c r="B1288" s="13"/>
      <c r="C1288" s="13"/>
    </row>
    <row r="1289" spans="1:3" ht="14" x14ac:dyDescent="0.3">
      <c r="A1289" s="12"/>
      <c r="B1289" s="13"/>
      <c r="C1289" s="13"/>
    </row>
    <row r="1290" spans="1:3" ht="14" x14ac:dyDescent="0.3">
      <c r="A1290" s="12"/>
      <c r="B1290" s="13"/>
      <c r="C1290" s="13"/>
    </row>
    <row r="1291" spans="1:3" ht="14" x14ac:dyDescent="0.3">
      <c r="A1291" s="12"/>
      <c r="B1291" s="13"/>
      <c r="C1291" s="13"/>
    </row>
    <row r="1292" spans="1:3" ht="14" x14ac:dyDescent="0.3">
      <c r="A1292" s="12"/>
      <c r="B1292" s="13"/>
      <c r="C1292" s="13"/>
    </row>
    <row r="1293" spans="1:3" ht="14" x14ac:dyDescent="0.3">
      <c r="A1293" s="12"/>
      <c r="B1293" s="13"/>
      <c r="C1293" s="13"/>
    </row>
    <row r="1294" spans="1:3" ht="14" x14ac:dyDescent="0.3">
      <c r="A1294" s="12"/>
      <c r="B1294" s="13"/>
      <c r="C1294" s="13"/>
    </row>
    <row r="1295" spans="1:3" ht="14" x14ac:dyDescent="0.3">
      <c r="A1295" s="12"/>
      <c r="B1295" s="13"/>
      <c r="C1295" s="13"/>
    </row>
    <row r="1296" spans="1:3" ht="14" x14ac:dyDescent="0.3">
      <c r="A1296" s="12"/>
      <c r="B1296" s="13"/>
      <c r="C1296" s="13"/>
    </row>
    <row r="1297" spans="1:3" ht="14" x14ac:dyDescent="0.3">
      <c r="A1297" s="12"/>
      <c r="B1297" s="13"/>
      <c r="C1297" s="13"/>
    </row>
    <row r="1298" spans="1:3" ht="14" x14ac:dyDescent="0.3">
      <c r="A1298" s="12"/>
      <c r="B1298" s="15"/>
      <c r="C1298" s="15"/>
    </row>
    <row r="1299" spans="1:3" ht="14" x14ac:dyDescent="0.3">
      <c r="A1299" s="12"/>
      <c r="B1299" s="13"/>
      <c r="C1299" s="13"/>
    </row>
    <row r="1300" spans="1:3" ht="14" x14ac:dyDescent="0.3">
      <c r="A1300" s="12"/>
      <c r="B1300" s="13"/>
      <c r="C1300" s="13"/>
    </row>
    <row r="1301" spans="1:3" ht="14" x14ac:dyDescent="0.3">
      <c r="A1301" s="12"/>
      <c r="B1301" s="13"/>
      <c r="C1301" s="13"/>
    </row>
    <row r="1302" spans="1:3" ht="14" x14ac:dyDescent="0.3">
      <c r="A1302" s="12"/>
      <c r="B1302" s="13"/>
      <c r="C1302" s="13"/>
    </row>
    <row r="1303" spans="1:3" ht="14" x14ac:dyDescent="0.3">
      <c r="A1303" s="12"/>
      <c r="B1303" s="13"/>
      <c r="C1303" s="13"/>
    </row>
    <row r="1304" spans="1:3" ht="14" x14ac:dyDescent="0.3">
      <c r="A1304" s="12"/>
      <c r="B1304" s="13"/>
      <c r="C1304" s="13"/>
    </row>
    <row r="1305" spans="1:3" ht="14" x14ac:dyDescent="0.3">
      <c r="A1305" s="12"/>
      <c r="B1305" s="13"/>
      <c r="C1305" s="13"/>
    </row>
    <row r="1306" spans="1:3" ht="14" x14ac:dyDescent="0.3">
      <c r="A1306" s="12"/>
      <c r="B1306" s="13"/>
      <c r="C1306" s="13"/>
    </row>
    <row r="1307" spans="1:3" ht="14" x14ac:dyDescent="0.3">
      <c r="A1307" s="12"/>
      <c r="B1307" s="13"/>
      <c r="C1307" s="13"/>
    </row>
    <row r="1308" spans="1:3" ht="14" x14ac:dyDescent="0.3">
      <c r="A1308" s="12"/>
      <c r="B1308" s="13"/>
      <c r="C1308" s="13"/>
    </row>
    <row r="1309" spans="1:3" ht="14" x14ac:dyDescent="0.3">
      <c r="A1309" s="12"/>
      <c r="B1309" s="13"/>
      <c r="C1309" s="13"/>
    </row>
    <row r="1310" spans="1:3" ht="14" x14ac:dyDescent="0.3">
      <c r="A1310" s="12"/>
      <c r="B1310" s="13"/>
      <c r="C1310" s="13"/>
    </row>
    <row r="1311" spans="1:3" ht="14" x14ac:dyDescent="0.3">
      <c r="A1311" s="12"/>
      <c r="B1311" s="13"/>
      <c r="C1311" s="13"/>
    </row>
    <row r="1312" spans="1:3" ht="14" x14ac:dyDescent="0.3">
      <c r="A1312" s="12"/>
      <c r="B1312" s="13"/>
      <c r="C1312" s="13"/>
    </row>
    <row r="1313" spans="1:3" ht="14" x14ac:dyDescent="0.3">
      <c r="A1313" s="12"/>
      <c r="B1313" s="13"/>
      <c r="C1313" s="13"/>
    </row>
    <row r="1314" spans="1:3" ht="14" x14ac:dyDescent="0.3">
      <c r="A1314" s="12"/>
      <c r="B1314" s="13"/>
      <c r="C1314" s="13"/>
    </row>
    <row r="1315" spans="1:3" ht="14" x14ac:dyDescent="0.3">
      <c r="A1315" s="12"/>
      <c r="B1315" s="13"/>
      <c r="C1315" s="13"/>
    </row>
    <row r="1316" spans="1:3" ht="14" x14ac:dyDescent="0.3">
      <c r="A1316" s="12"/>
      <c r="B1316" s="13"/>
      <c r="C1316" s="13"/>
    </row>
    <row r="1317" spans="1:3" ht="14" x14ac:dyDescent="0.3">
      <c r="A1317" s="12"/>
      <c r="B1317" s="13"/>
      <c r="C1317" s="13"/>
    </row>
    <row r="1318" spans="1:3" ht="14" x14ac:dyDescent="0.3">
      <c r="A1318" s="12"/>
      <c r="B1318" s="13"/>
      <c r="C1318" s="13"/>
    </row>
    <row r="1319" spans="1:3" ht="14" x14ac:dyDescent="0.3">
      <c r="A1319" s="12"/>
      <c r="B1319" s="13"/>
      <c r="C1319" s="13"/>
    </row>
    <row r="1320" spans="1:3" ht="14" x14ac:dyDescent="0.3">
      <c r="A1320" s="12"/>
      <c r="B1320" s="13"/>
      <c r="C1320" s="13"/>
    </row>
    <row r="1321" spans="1:3" ht="14" x14ac:dyDescent="0.3">
      <c r="A1321" s="12"/>
      <c r="B1321" s="13"/>
      <c r="C1321" s="13"/>
    </row>
    <row r="1322" spans="1:3" ht="14" x14ac:dyDescent="0.3">
      <c r="A1322" s="12"/>
      <c r="B1322" s="15"/>
      <c r="C1322" s="15"/>
    </row>
  </sheetData>
  <sheetProtection algorithmName="SHA-512" hashValue="Q0X4r8PjEETA4bb09PSZXoOOHHUUiHsR0hnY11SoyVbyt84kgB5aNiPwp4Q7nZiFIW2rGS/phuJPachl7njCYw==" saltValue="76+Krcv/NpZdybx2N9G5ZA==" spinCount="100000" sheet="1" objects="1" scenarios="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7AFE-0E23-464F-9788-513BFACC072B}">
  <dimension ref="A1:P1321"/>
  <sheetViews>
    <sheetView zoomScale="84" workbookViewId="0">
      <pane ySplit="1" topLeftCell="A662" activePane="bottomLeft" state="frozen"/>
      <selection pane="bottomLeft" activeCell="D673" sqref="D673"/>
    </sheetView>
  </sheetViews>
  <sheetFormatPr defaultRowHeight="14.5" x14ac:dyDescent="0.35"/>
  <cols>
    <col min="1" max="1" width="11.81640625" customWidth="1"/>
    <col min="2" max="2" width="15" customWidth="1"/>
  </cols>
  <sheetData>
    <row r="1" spans="1:16" x14ac:dyDescent="0.35">
      <c r="A1" t="s">
        <v>0</v>
      </c>
      <c r="B1" t="s">
        <v>1</v>
      </c>
      <c r="C1" t="s">
        <v>13</v>
      </c>
      <c r="D1" t="s">
        <v>14</v>
      </c>
      <c r="E1" t="s">
        <v>15</v>
      </c>
      <c r="F1" t="s">
        <v>16</v>
      </c>
      <c r="G1" t="s">
        <v>17</v>
      </c>
      <c r="H1" t="s">
        <v>18</v>
      </c>
      <c r="I1" t="s">
        <v>19</v>
      </c>
      <c r="J1" t="s">
        <v>20</v>
      </c>
      <c r="K1" t="s">
        <v>21</v>
      </c>
      <c r="L1" t="s">
        <v>22</v>
      </c>
      <c r="M1" t="s">
        <v>23</v>
      </c>
      <c r="N1" t="s">
        <v>24</v>
      </c>
      <c r="O1" t="s">
        <v>25</v>
      </c>
      <c r="P1" t="s">
        <v>26</v>
      </c>
    </row>
    <row r="2" spans="1:16" x14ac:dyDescent="0.35">
      <c r="A2" s="1">
        <v>40581</v>
      </c>
      <c r="B2" s="2">
        <v>4.1666666666666664E-2</v>
      </c>
      <c r="D2">
        <v>70</v>
      </c>
      <c r="E2">
        <v>0.12</v>
      </c>
      <c r="F2">
        <v>-0.67</v>
      </c>
      <c r="G2">
        <v>6.1</v>
      </c>
      <c r="H2">
        <v>5.43</v>
      </c>
      <c r="I2">
        <v>10.02</v>
      </c>
      <c r="K2">
        <v>77.42</v>
      </c>
      <c r="L2">
        <v>0.36</v>
      </c>
      <c r="M2">
        <v>687.68</v>
      </c>
      <c r="N2">
        <v>17.690000000000001</v>
      </c>
      <c r="O2">
        <v>192.7</v>
      </c>
      <c r="P2">
        <v>0.64</v>
      </c>
    </row>
    <row r="3" spans="1:16" x14ac:dyDescent="0.35">
      <c r="A3" s="1">
        <v>40581</v>
      </c>
      <c r="B3" s="2">
        <v>8.3333333333333329E-2</v>
      </c>
      <c r="D3">
        <v>72.88</v>
      </c>
      <c r="E3">
        <v>0.15</v>
      </c>
      <c r="F3">
        <v>-0.78</v>
      </c>
      <c r="G3">
        <v>2.66</v>
      </c>
      <c r="H3">
        <v>1.88</v>
      </c>
      <c r="I3">
        <v>15.2</v>
      </c>
      <c r="K3">
        <v>35.4</v>
      </c>
      <c r="L3">
        <v>0.38</v>
      </c>
      <c r="M3">
        <v>716.38</v>
      </c>
      <c r="N3">
        <v>17.55</v>
      </c>
      <c r="O3">
        <v>194</v>
      </c>
      <c r="P3">
        <v>1.53</v>
      </c>
    </row>
    <row r="4" spans="1:16" x14ac:dyDescent="0.35">
      <c r="A4" s="1">
        <v>40581</v>
      </c>
      <c r="B4" s="2">
        <v>0.125</v>
      </c>
      <c r="D4">
        <v>70.17</v>
      </c>
      <c r="E4">
        <v>0.15</v>
      </c>
      <c r="F4">
        <v>-0.83</v>
      </c>
      <c r="G4">
        <v>2.92</v>
      </c>
      <c r="H4">
        <v>2.09</v>
      </c>
      <c r="I4">
        <v>14.91</v>
      </c>
      <c r="K4">
        <v>39.85</v>
      </c>
      <c r="L4">
        <v>0.41</v>
      </c>
      <c r="M4">
        <v>689.73</v>
      </c>
      <c r="N4">
        <v>17.66</v>
      </c>
      <c r="O4">
        <v>178.56</v>
      </c>
      <c r="P4">
        <v>1.26</v>
      </c>
    </row>
    <row r="5" spans="1:16" x14ac:dyDescent="0.35">
      <c r="A5" s="1">
        <v>40581</v>
      </c>
      <c r="B5" s="2">
        <v>0.16666666666666666</v>
      </c>
      <c r="D5">
        <v>65.709999999999994</v>
      </c>
      <c r="E5">
        <v>0.14000000000000001</v>
      </c>
      <c r="F5">
        <v>-0.77</v>
      </c>
      <c r="G5">
        <v>4.87</v>
      </c>
      <c r="H5">
        <v>4.0999999999999996</v>
      </c>
      <c r="I5">
        <v>12.05</v>
      </c>
      <c r="K5">
        <v>39.770000000000003</v>
      </c>
      <c r="L5">
        <v>0.69</v>
      </c>
      <c r="M5">
        <v>645.27</v>
      </c>
      <c r="N5">
        <v>17.96</v>
      </c>
      <c r="O5">
        <v>204.47</v>
      </c>
      <c r="P5">
        <v>1.0900000000000001</v>
      </c>
    </row>
    <row r="6" spans="1:16" x14ac:dyDescent="0.35">
      <c r="A6" s="1">
        <v>40581</v>
      </c>
      <c r="B6" s="2">
        <v>0.20833333333333334</v>
      </c>
      <c r="D6">
        <v>62.75</v>
      </c>
      <c r="E6">
        <v>0.11</v>
      </c>
      <c r="F6">
        <v>-1.1100000000000001</v>
      </c>
      <c r="G6">
        <v>5.36</v>
      </c>
      <c r="H6">
        <v>4.25</v>
      </c>
      <c r="I6">
        <v>12.34</v>
      </c>
      <c r="K6">
        <v>41.1</v>
      </c>
      <c r="L6">
        <v>1.05</v>
      </c>
      <c r="M6">
        <v>615.53</v>
      </c>
      <c r="N6">
        <v>17.62</v>
      </c>
      <c r="O6">
        <v>192.45</v>
      </c>
      <c r="P6">
        <v>1.1000000000000001</v>
      </c>
    </row>
    <row r="7" spans="1:16" x14ac:dyDescent="0.35">
      <c r="A7" s="1">
        <v>40581</v>
      </c>
      <c r="B7" s="2">
        <v>0.25</v>
      </c>
      <c r="D7">
        <v>63.59</v>
      </c>
      <c r="E7">
        <v>0.12</v>
      </c>
      <c r="F7">
        <v>-0.86</v>
      </c>
      <c r="G7">
        <v>7.81</v>
      </c>
      <c r="H7">
        <v>6.95</v>
      </c>
      <c r="I7">
        <v>9.91</v>
      </c>
      <c r="K7">
        <v>31.77</v>
      </c>
      <c r="L7">
        <v>1.01</v>
      </c>
      <c r="M7">
        <v>623.75</v>
      </c>
      <c r="N7">
        <v>17.66</v>
      </c>
      <c r="O7">
        <v>185.77</v>
      </c>
      <c r="P7">
        <v>1.46</v>
      </c>
    </row>
    <row r="8" spans="1:16" x14ac:dyDescent="0.35">
      <c r="A8" s="1">
        <v>40581</v>
      </c>
      <c r="B8" s="2">
        <v>0.29166666666666669</v>
      </c>
      <c r="D8">
        <v>64.33</v>
      </c>
      <c r="E8">
        <v>0.11</v>
      </c>
      <c r="F8">
        <v>0.4</v>
      </c>
      <c r="G8">
        <v>8.2899999999999991</v>
      </c>
      <c r="H8">
        <v>8.6999999999999993</v>
      </c>
      <c r="I8">
        <v>9.5299999999999994</v>
      </c>
      <c r="K8">
        <v>33.46</v>
      </c>
      <c r="L8">
        <v>0.85</v>
      </c>
      <c r="M8">
        <v>631.29999999999995</v>
      </c>
      <c r="N8">
        <v>17.53</v>
      </c>
      <c r="O8">
        <v>188.12</v>
      </c>
      <c r="P8">
        <v>1.59</v>
      </c>
    </row>
    <row r="9" spans="1:16" x14ac:dyDescent="0.35">
      <c r="A9" s="1">
        <v>40581</v>
      </c>
      <c r="B9" s="2">
        <v>0.33333333333333331</v>
      </c>
      <c r="D9">
        <v>61.22</v>
      </c>
      <c r="E9">
        <v>0.11</v>
      </c>
      <c r="F9">
        <v>1.01</v>
      </c>
      <c r="G9">
        <v>7.46</v>
      </c>
      <c r="H9">
        <v>8.4600000000000009</v>
      </c>
      <c r="I9">
        <v>10.56</v>
      </c>
      <c r="K9">
        <v>34.950000000000003</v>
      </c>
      <c r="L9">
        <v>0.88</v>
      </c>
      <c r="M9">
        <v>600.54</v>
      </c>
      <c r="N9">
        <v>18.27</v>
      </c>
      <c r="O9">
        <v>201.99</v>
      </c>
      <c r="P9">
        <v>1.21</v>
      </c>
    </row>
    <row r="10" spans="1:16" x14ac:dyDescent="0.35">
      <c r="A10" s="1">
        <v>40581</v>
      </c>
      <c r="B10" s="2">
        <v>0.375</v>
      </c>
      <c r="D10">
        <v>57.68</v>
      </c>
      <c r="E10">
        <v>0.11</v>
      </c>
      <c r="F10">
        <v>1.92</v>
      </c>
      <c r="G10">
        <v>7.24</v>
      </c>
      <c r="H10">
        <v>9.16</v>
      </c>
      <c r="I10">
        <v>11.14</v>
      </c>
      <c r="K10">
        <v>36.53</v>
      </c>
      <c r="L10">
        <v>0.66</v>
      </c>
      <c r="M10">
        <v>565.44000000000005</v>
      </c>
      <c r="N10">
        <v>19.09</v>
      </c>
      <c r="O10">
        <v>215.18</v>
      </c>
      <c r="P10">
        <v>1.27</v>
      </c>
    </row>
    <row r="11" spans="1:16" x14ac:dyDescent="0.35">
      <c r="A11" s="1">
        <v>40581</v>
      </c>
      <c r="B11" s="2">
        <v>0.41666666666666669</v>
      </c>
      <c r="D11">
        <v>55.04</v>
      </c>
      <c r="E11">
        <v>0.11</v>
      </c>
      <c r="F11">
        <v>3.13</v>
      </c>
      <c r="G11">
        <v>7.4</v>
      </c>
      <c r="H11">
        <v>10.53</v>
      </c>
      <c r="I11">
        <v>11.69</v>
      </c>
      <c r="K11">
        <v>74.28</v>
      </c>
      <c r="L11">
        <v>0.35</v>
      </c>
      <c r="M11">
        <v>539.04999999999995</v>
      </c>
      <c r="N11">
        <v>19.96</v>
      </c>
      <c r="O11">
        <v>219.75</v>
      </c>
      <c r="P11">
        <v>0.61</v>
      </c>
    </row>
    <row r="12" spans="1:16" x14ac:dyDescent="0.35">
      <c r="A12" s="1">
        <v>40581</v>
      </c>
      <c r="B12" s="2">
        <v>0.45833333333333331</v>
      </c>
      <c r="D12">
        <v>53.42</v>
      </c>
      <c r="E12">
        <v>0.12</v>
      </c>
      <c r="F12">
        <v>5.13</v>
      </c>
      <c r="G12">
        <v>8.1999999999999993</v>
      </c>
      <c r="H12">
        <v>13.34</v>
      </c>
      <c r="I12">
        <v>12.48</v>
      </c>
      <c r="K12">
        <v>83.09</v>
      </c>
      <c r="L12">
        <v>0.55000000000000004</v>
      </c>
      <c r="M12">
        <v>522.92999999999995</v>
      </c>
      <c r="N12">
        <v>20.75</v>
      </c>
      <c r="O12">
        <v>93.4</v>
      </c>
      <c r="P12">
        <v>0.49</v>
      </c>
    </row>
    <row r="13" spans="1:16" x14ac:dyDescent="0.35">
      <c r="A13" s="1">
        <v>40581</v>
      </c>
      <c r="B13" s="2">
        <v>0.5</v>
      </c>
      <c r="D13">
        <v>51.44</v>
      </c>
      <c r="E13">
        <v>0.12</v>
      </c>
      <c r="F13">
        <v>3.57</v>
      </c>
      <c r="G13">
        <v>7.54</v>
      </c>
      <c r="H13">
        <v>11.11</v>
      </c>
      <c r="I13">
        <v>17.510000000000002</v>
      </c>
      <c r="K13">
        <v>71.62</v>
      </c>
      <c r="L13">
        <v>1.6</v>
      </c>
      <c r="M13">
        <v>503.88</v>
      </c>
      <c r="N13">
        <v>22.04</v>
      </c>
      <c r="O13">
        <v>123.35</v>
      </c>
      <c r="P13">
        <v>0.72</v>
      </c>
    </row>
    <row r="14" spans="1:16" x14ac:dyDescent="0.35">
      <c r="A14" s="1">
        <v>40581</v>
      </c>
      <c r="B14" s="2">
        <v>0.54166666666666663</v>
      </c>
      <c r="D14">
        <v>50.63</v>
      </c>
      <c r="E14">
        <v>0.11</v>
      </c>
      <c r="F14">
        <v>1.19</v>
      </c>
      <c r="G14">
        <v>5.13</v>
      </c>
      <c r="H14">
        <v>6.32</v>
      </c>
      <c r="I14">
        <v>21.62</v>
      </c>
      <c r="K14">
        <v>76.290000000000006</v>
      </c>
      <c r="L14">
        <v>0.22</v>
      </c>
      <c r="M14">
        <v>494.72</v>
      </c>
      <c r="N14">
        <v>22.58</v>
      </c>
      <c r="O14">
        <v>105.74</v>
      </c>
      <c r="P14">
        <v>0.94</v>
      </c>
    </row>
    <row r="15" spans="1:16" x14ac:dyDescent="0.35">
      <c r="A15" s="1">
        <v>40581</v>
      </c>
      <c r="B15" s="2">
        <v>0.58333333333333337</v>
      </c>
      <c r="D15">
        <v>52.16</v>
      </c>
      <c r="E15">
        <v>0.13</v>
      </c>
      <c r="F15">
        <v>1.68</v>
      </c>
      <c r="G15">
        <v>7.06</v>
      </c>
      <c r="H15">
        <v>8.74</v>
      </c>
      <c r="I15">
        <v>20.07</v>
      </c>
      <c r="K15">
        <v>35.42</v>
      </c>
      <c r="L15">
        <v>0.17</v>
      </c>
      <c r="M15">
        <v>510.45</v>
      </c>
      <c r="N15">
        <v>22.43</v>
      </c>
      <c r="O15">
        <v>114.47</v>
      </c>
      <c r="P15">
        <v>1.69</v>
      </c>
    </row>
    <row r="16" spans="1:16" x14ac:dyDescent="0.35">
      <c r="A16" s="1">
        <v>40581</v>
      </c>
      <c r="B16" s="2">
        <v>0.625</v>
      </c>
      <c r="D16">
        <v>58.43</v>
      </c>
      <c r="E16">
        <v>0.16</v>
      </c>
      <c r="F16">
        <v>1.93</v>
      </c>
      <c r="G16">
        <v>11.82</v>
      </c>
      <c r="H16">
        <v>13.75</v>
      </c>
      <c r="I16">
        <v>17.510000000000002</v>
      </c>
      <c r="K16">
        <v>25.56</v>
      </c>
      <c r="L16">
        <v>2.2400000000000002</v>
      </c>
      <c r="M16">
        <v>572.99</v>
      </c>
      <c r="N16">
        <v>21.51</v>
      </c>
      <c r="O16">
        <v>117.3</v>
      </c>
      <c r="P16">
        <v>2.52</v>
      </c>
    </row>
    <row r="17" spans="1:16" x14ac:dyDescent="0.35">
      <c r="A17" s="1">
        <v>40581</v>
      </c>
      <c r="B17" s="2">
        <v>0.66666666666666663</v>
      </c>
      <c r="D17">
        <v>61.05</v>
      </c>
      <c r="E17">
        <v>0.13</v>
      </c>
      <c r="F17">
        <v>0.94</v>
      </c>
      <c r="G17">
        <v>7.25</v>
      </c>
      <c r="H17">
        <v>8.19</v>
      </c>
      <c r="I17">
        <v>18</v>
      </c>
      <c r="J17">
        <v>18.64</v>
      </c>
      <c r="K17">
        <v>19.760000000000002</v>
      </c>
      <c r="L17">
        <v>0.3</v>
      </c>
      <c r="M17">
        <v>599.27</v>
      </c>
      <c r="N17">
        <v>21.41</v>
      </c>
      <c r="O17">
        <v>117.85</v>
      </c>
      <c r="P17">
        <v>2.54</v>
      </c>
    </row>
    <row r="18" spans="1:16" x14ac:dyDescent="0.35">
      <c r="A18" s="1">
        <v>40581</v>
      </c>
      <c r="B18" s="2">
        <v>0.70833333333333337</v>
      </c>
      <c r="D18">
        <v>64.44</v>
      </c>
      <c r="E18">
        <v>0.13</v>
      </c>
      <c r="F18">
        <v>1.46</v>
      </c>
      <c r="G18">
        <v>9.75</v>
      </c>
      <c r="H18">
        <v>11.21</v>
      </c>
      <c r="I18">
        <v>14.7</v>
      </c>
      <c r="J18">
        <v>26.08</v>
      </c>
      <c r="K18">
        <v>21.85</v>
      </c>
      <c r="L18">
        <v>2.56</v>
      </c>
      <c r="M18">
        <v>632.51</v>
      </c>
      <c r="N18">
        <v>20.88</v>
      </c>
      <c r="O18">
        <v>119.18</v>
      </c>
      <c r="P18">
        <v>2.7</v>
      </c>
    </row>
    <row r="19" spans="1:16" x14ac:dyDescent="0.35">
      <c r="A19" s="1">
        <v>40581</v>
      </c>
      <c r="B19" s="2">
        <v>0.75</v>
      </c>
      <c r="D19">
        <v>64.84</v>
      </c>
      <c r="E19">
        <v>0.1</v>
      </c>
      <c r="F19">
        <v>0.79</v>
      </c>
      <c r="G19">
        <v>8.86</v>
      </c>
      <c r="H19">
        <v>9.65</v>
      </c>
      <c r="I19">
        <v>12.77</v>
      </c>
      <c r="J19">
        <v>17.61</v>
      </c>
      <c r="K19">
        <v>19.7</v>
      </c>
      <c r="L19">
        <v>1.4</v>
      </c>
      <c r="M19">
        <v>636.39</v>
      </c>
      <c r="N19">
        <v>20.65</v>
      </c>
      <c r="O19">
        <v>121.66</v>
      </c>
      <c r="P19">
        <v>2.29</v>
      </c>
    </row>
    <row r="20" spans="1:16" x14ac:dyDescent="0.35">
      <c r="A20" s="1">
        <v>40581</v>
      </c>
      <c r="B20" s="2">
        <v>0.79166666666666663</v>
      </c>
      <c r="D20">
        <v>65.319999999999993</v>
      </c>
      <c r="E20">
        <v>0.1</v>
      </c>
      <c r="F20">
        <v>-0.49</v>
      </c>
      <c r="G20">
        <v>7.73</v>
      </c>
      <c r="H20">
        <v>7.24</v>
      </c>
      <c r="I20">
        <v>13.33</v>
      </c>
      <c r="J20">
        <v>14.93</v>
      </c>
      <c r="K20">
        <v>27.09</v>
      </c>
      <c r="L20">
        <v>0.68</v>
      </c>
      <c r="M20">
        <v>640.99</v>
      </c>
      <c r="N20">
        <v>20.5</v>
      </c>
      <c r="O20">
        <v>92.44</v>
      </c>
      <c r="P20">
        <v>1.48</v>
      </c>
    </row>
    <row r="21" spans="1:16" x14ac:dyDescent="0.35">
      <c r="A21" s="1">
        <v>40581</v>
      </c>
      <c r="B21" s="2">
        <v>0.83333333333333337</v>
      </c>
      <c r="D21">
        <v>67.02</v>
      </c>
      <c r="E21">
        <v>0.11</v>
      </c>
      <c r="F21">
        <v>-0.81</v>
      </c>
      <c r="G21">
        <v>7.85</v>
      </c>
      <c r="H21">
        <v>7.04</v>
      </c>
      <c r="I21">
        <v>13.01</v>
      </c>
      <c r="J21">
        <v>15.27</v>
      </c>
      <c r="K21">
        <v>23.99</v>
      </c>
      <c r="L21">
        <v>0.74</v>
      </c>
      <c r="M21">
        <v>657.91</v>
      </c>
      <c r="N21">
        <v>20.399999999999999</v>
      </c>
      <c r="O21">
        <v>96.85</v>
      </c>
      <c r="P21">
        <v>1.28</v>
      </c>
    </row>
    <row r="22" spans="1:16" x14ac:dyDescent="0.35">
      <c r="A22" s="1">
        <v>40581</v>
      </c>
      <c r="B22" s="2">
        <v>0.875</v>
      </c>
      <c r="D22">
        <v>69.48</v>
      </c>
      <c r="E22">
        <v>0.1</v>
      </c>
      <c r="F22">
        <v>-0.83</v>
      </c>
      <c r="G22">
        <v>6.44</v>
      </c>
      <c r="H22">
        <v>5.61</v>
      </c>
      <c r="I22">
        <v>14.64</v>
      </c>
      <c r="J22">
        <v>12.66</v>
      </c>
      <c r="K22">
        <v>27.59</v>
      </c>
      <c r="L22">
        <v>7.0000000000000007E-2</v>
      </c>
      <c r="M22">
        <v>682.44</v>
      </c>
      <c r="N22">
        <v>20.010000000000002</v>
      </c>
      <c r="O22">
        <v>73.459999999999994</v>
      </c>
      <c r="P22">
        <v>1.45</v>
      </c>
    </row>
    <row r="23" spans="1:16" x14ac:dyDescent="0.35">
      <c r="A23" s="1">
        <v>40581</v>
      </c>
      <c r="B23" s="2">
        <v>0.91666666666666663</v>
      </c>
      <c r="D23">
        <v>67.89</v>
      </c>
      <c r="E23">
        <v>0.08</v>
      </c>
      <c r="F23">
        <v>-0.83</v>
      </c>
      <c r="G23">
        <v>4.55</v>
      </c>
      <c r="H23">
        <v>3.72</v>
      </c>
      <c r="I23">
        <v>16.350000000000001</v>
      </c>
      <c r="J23">
        <v>10.92</v>
      </c>
      <c r="K23">
        <v>32.200000000000003</v>
      </c>
      <c r="L23">
        <v>-0.1</v>
      </c>
      <c r="M23">
        <v>666.55</v>
      </c>
      <c r="N23">
        <v>20</v>
      </c>
      <c r="O23">
        <v>111.98</v>
      </c>
      <c r="P23">
        <v>0.84</v>
      </c>
    </row>
    <row r="24" spans="1:16" x14ac:dyDescent="0.35">
      <c r="A24" s="1">
        <v>40581</v>
      </c>
      <c r="B24" s="2">
        <v>0.95833333333333337</v>
      </c>
      <c r="D24">
        <v>68.12</v>
      </c>
      <c r="E24">
        <v>0.08</v>
      </c>
      <c r="F24">
        <v>-0.76</v>
      </c>
      <c r="G24">
        <v>4.9000000000000004</v>
      </c>
      <c r="H24">
        <v>4.1399999999999997</v>
      </c>
      <c r="I24">
        <v>15.36</v>
      </c>
      <c r="J24">
        <v>9.89</v>
      </c>
      <c r="K24">
        <v>68.319999999999993</v>
      </c>
      <c r="L24">
        <v>-0.12</v>
      </c>
      <c r="M24">
        <v>668.91</v>
      </c>
      <c r="N24">
        <v>20.04</v>
      </c>
      <c r="O24">
        <v>228.66</v>
      </c>
      <c r="P24">
        <v>0.15</v>
      </c>
    </row>
    <row r="25" spans="1:16" x14ac:dyDescent="0.35">
      <c r="A25" s="1">
        <v>40581</v>
      </c>
      <c r="B25" s="3">
        <v>1</v>
      </c>
      <c r="D25">
        <v>70.099999999999994</v>
      </c>
      <c r="E25">
        <v>0.08</v>
      </c>
      <c r="F25">
        <v>-1.1200000000000001</v>
      </c>
      <c r="G25">
        <v>4.96</v>
      </c>
      <c r="H25">
        <v>3.84</v>
      </c>
      <c r="I25">
        <v>14.28</v>
      </c>
      <c r="J25">
        <v>9.94</v>
      </c>
      <c r="K25">
        <v>52.93</v>
      </c>
      <c r="L25">
        <v>-0.11</v>
      </c>
      <c r="M25">
        <v>688.61</v>
      </c>
      <c r="N25">
        <v>19.850000000000001</v>
      </c>
      <c r="O25">
        <v>227.92</v>
      </c>
      <c r="P25">
        <v>0.23</v>
      </c>
    </row>
    <row r="26" spans="1:16" x14ac:dyDescent="0.35">
      <c r="A26" s="1">
        <v>40582</v>
      </c>
      <c r="B26" s="2">
        <v>4.1666666666666664E-2</v>
      </c>
      <c r="D26">
        <v>72.849999999999994</v>
      </c>
      <c r="E26">
        <v>0.12</v>
      </c>
      <c r="F26">
        <v>-1.1000000000000001</v>
      </c>
      <c r="G26">
        <v>8.92</v>
      </c>
      <c r="H26">
        <v>7.82</v>
      </c>
      <c r="I26">
        <v>10.210000000000001</v>
      </c>
      <c r="J26">
        <v>14.24</v>
      </c>
      <c r="K26">
        <v>24.09</v>
      </c>
      <c r="L26">
        <v>0.36</v>
      </c>
      <c r="M26">
        <v>716.07</v>
      </c>
      <c r="N26">
        <v>19.61</v>
      </c>
      <c r="O26">
        <v>205.87</v>
      </c>
      <c r="P26">
        <v>0.71</v>
      </c>
    </row>
    <row r="27" spans="1:16" x14ac:dyDescent="0.35">
      <c r="A27" s="1">
        <v>40582</v>
      </c>
      <c r="B27" s="2">
        <v>8.3333333333333329E-2</v>
      </c>
      <c r="D27">
        <v>74.16</v>
      </c>
      <c r="E27">
        <v>0.14000000000000001</v>
      </c>
      <c r="F27">
        <v>-0.91</v>
      </c>
      <c r="G27">
        <v>7.2</v>
      </c>
      <c r="H27">
        <v>6.29</v>
      </c>
      <c r="I27">
        <v>11.95</v>
      </c>
      <c r="J27">
        <v>14.91</v>
      </c>
      <c r="K27">
        <v>27.54</v>
      </c>
      <c r="L27">
        <v>0.21</v>
      </c>
      <c r="M27">
        <v>729.23</v>
      </c>
      <c r="N27">
        <v>19.34</v>
      </c>
      <c r="O27">
        <v>197.29</v>
      </c>
      <c r="P27">
        <v>0.54</v>
      </c>
    </row>
    <row r="28" spans="1:16" x14ac:dyDescent="0.35">
      <c r="A28" s="1">
        <v>40582</v>
      </c>
      <c r="B28" s="2">
        <v>0.125</v>
      </c>
      <c r="D28">
        <v>78.53</v>
      </c>
      <c r="E28">
        <v>0.14000000000000001</v>
      </c>
      <c r="F28">
        <v>-1.18</v>
      </c>
      <c r="G28">
        <v>7.71</v>
      </c>
      <c r="H28">
        <v>6.53</v>
      </c>
      <c r="I28">
        <v>10.86</v>
      </c>
      <c r="J28">
        <v>15.76</v>
      </c>
      <c r="K28">
        <v>62.55</v>
      </c>
      <c r="L28">
        <v>0.19</v>
      </c>
      <c r="M28">
        <v>772.48</v>
      </c>
      <c r="N28">
        <v>18.09</v>
      </c>
      <c r="O28">
        <v>162.61000000000001</v>
      </c>
      <c r="P28">
        <v>0.2</v>
      </c>
    </row>
    <row r="29" spans="1:16" x14ac:dyDescent="0.35">
      <c r="A29" s="1">
        <v>40582</v>
      </c>
      <c r="B29" s="2">
        <v>0.16666666666666666</v>
      </c>
      <c r="D29">
        <v>81.849999999999994</v>
      </c>
      <c r="E29">
        <v>0.15</v>
      </c>
      <c r="F29">
        <v>-1</v>
      </c>
      <c r="G29">
        <v>10.3</v>
      </c>
      <c r="H29">
        <v>9.31</v>
      </c>
      <c r="I29">
        <v>6.33</v>
      </c>
      <c r="J29">
        <v>16.78</v>
      </c>
      <c r="K29">
        <v>69.47</v>
      </c>
      <c r="L29">
        <v>0.09</v>
      </c>
      <c r="M29">
        <v>806.1</v>
      </c>
      <c r="N29">
        <v>17.29</v>
      </c>
      <c r="O29">
        <v>150.71</v>
      </c>
      <c r="P29">
        <v>0.31</v>
      </c>
    </row>
    <row r="30" spans="1:16" x14ac:dyDescent="0.35">
      <c r="A30" s="1">
        <v>40582</v>
      </c>
      <c r="B30" s="2">
        <v>0.20833333333333334</v>
      </c>
      <c r="D30">
        <v>77.09</v>
      </c>
      <c r="E30">
        <v>0.17</v>
      </c>
      <c r="F30">
        <v>3.38</v>
      </c>
      <c r="G30">
        <v>16.55</v>
      </c>
      <c r="H30">
        <v>19.93</v>
      </c>
      <c r="I30">
        <v>0.71</v>
      </c>
      <c r="J30">
        <v>18.440000000000001</v>
      </c>
      <c r="K30">
        <v>68.510000000000005</v>
      </c>
      <c r="L30">
        <v>0.4</v>
      </c>
      <c r="M30">
        <v>758.54</v>
      </c>
      <c r="N30">
        <v>17.989999999999998</v>
      </c>
      <c r="O30">
        <v>179.47</v>
      </c>
      <c r="P30">
        <v>0.3</v>
      </c>
    </row>
    <row r="31" spans="1:16" x14ac:dyDescent="0.35">
      <c r="A31" s="1">
        <v>40582</v>
      </c>
      <c r="B31" s="2">
        <v>0.25</v>
      </c>
      <c r="D31">
        <v>81.12</v>
      </c>
      <c r="E31">
        <v>0.18</v>
      </c>
      <c r="F31">
        <v>5.79</v>
      </c>
      <c r="G31">
        <v>15.83</v>
      </c>
      <c r="H31">
        <v>21.62</v>
      </c>
      <c r="I31">
        <v>0.51</v>
      </c>
      <c r="J31">
        <v>17.649999999999999</v>
      </c>
      <c r="K31">
        <v>70.62</v>
      </c>
      <c r="L31">
        <v>0.38</v>
      </c>
      <c r="M31">
        <v>798.39</v>
      </c>
      <c r="N31">
        <v>17.36</v>
      </c>
      <c r="O31">
        <v>236.05</v>
      </c>
      <c r="P31">
        <v>0.12</v>
      </c>
    </row>
    <row r="32" spans="1:16" x14ac:dyDescent="0.35">
      <c r="A32" s="1">
        <v>40582</v>
      </c>
      <c r="B32" s="2">
        <v>0.29166666666666669</v>
      </c>
      <c r="D32">
        <v>74.69</v>
      </c>
      <c r="E32">
        <v>0.24</v>
      </c>
      <c r="F32">
        <v>33.729999999999997</v>
      </c>
      <c r="G32">
        <v>17.36</v>
      </c>
      <c r="H32">
        <v>51.08</v>
      </c>
      <c r="I32">
        <v>1.37</v>
      </c>
      <c r="J32">
        <v>24.31</v>
      </c>
      <c r="K32">
        <v>92.83</v>
      </c>
      <c r="L32">
        <v>0.96</v>
      </c>
      <c r="M32">
        <v>735.05</v>
      </c>
      <c r="N32">
        <v>18.96</v>
      </c>
      <c r="O32">
        <v>183.27</v>
      </c>
      <c r="P32">
        <v>0.22</v>
      </c>
    </row>
    <row r="33" spans="1:16" x14ac:dyDescent="0.35">
      <c r="A33" s="1">
        <v>40582</v>
      </c>
      <c r="B33" s="2">
        <v>0.33333333333333331</v>
      </c>
      <c r="D33">
        <v>60.19</v>
      </c>
      <c r="E33">
        <v>0.22</v>
      </c>
      <c r="F33">
        <v>16.11</v>
      </c>
      <c r="G33">
        <v>14.34</v>
      </c>
      <c r="H33">
        <v>30.45</v>
      </c>
      <c r="I33">
        <v>6.33</v>
      </c>
      <c r="J33">
        <v>26.67</v>
      </c>
      <c r="K33">
        <v>36.19</v>
      </c>
      <c r="L33">
        <v>1.72</v>
      </c>
      <c r="M33">
        <v>590.1</v>
      </c>
      <c r="N33">
        <v>22.01</v>
      </c>
      <c r="O33">
        <v>199.02</v>
      </c>
      <c r="P33">
        <v>1</v>
      </c>
    </row>
    <row r="34" spans="1:16" x14ac:dyDescent="0.35">
      <c r="A34" s="1">
        <v>40582</v>
      </c>
      <c r="B34" s="2">
        <v>0.375</v>
      </c>
      <c r="D34">
        <v>59.17</v>
      </c>
      <c r="E34">
        <v>0.18</v>
      </c>
      <c r="F34">
        <v>5.55</v>
      </c>
      <c r="G34">
        <v>10.53</v>
      </c>
      <c r="H34">
        <v>16.079999999999998</v>
      </c>
      <c r="I34">
        <v>12.44</v>
      </c>
      <c r="J34">
        <v>22.55</v>
      </c>
      <c r="K34">
        <v>32.36</v>
      </c>
      <c r="L34">
        <v>2.89</v>
      </c>
      <c r="M34">
        <v>579.76</v>
      </c>
      <c r="N34">
        <v>21.98</v>
      </c>
      <c r="O34">
        <v>187.33</v>
      </c>
      <c r="P34">
        <v>1.1399999999999999</v>
      </c>
    </row>
    <row r="35" spans="1:16" x14ac:dyDescent="0.35">
      <c r="A35" s="1">
        <v>40582</v>
      </c>
      <c r="B35" s="2">
        <v>0.41666666666666669</v>
      </c>
      <c r="D35">
        <v>57.56</v>
      </c>
      <c r="E35">
        <v>0.16</v>
      </c>
      <c r="F35">
        <v>5.81</v>
      </c>
      <c r="G35">
        <v>11.55</v>
      </c>
      <c r="H35">
        <v>17.36</v>
      </c>
      <c r="I35">
        <v>13.35</v>
      </c>
      <c r="J35">
        <v>23.63</v>
      </c>
      <c r="K35">
        <v>47.26</v>
      </c>
      <c r="L35">
        <v>1.67</v>
      </c>
      <c r="M35">
        <v>564.84</v>
      </c>
      <c r="N35">
        <v>22.55</v>
      </c>
      <c r="O35">
        <v>182.92</v>
      </c>
      <c r="P35">
        <v>1.05</v>
      </c>
    </row>
    <row r="36" spans="1:16" x14ac:dyDescent="0.35">
      <c r="A36" s="1">
        <v>40582</v>
      </c>
      <c r="B36" s="2">
        <v>0.45833333333333331</v>
      </c>
      <c r="D36">
        <v>54.54</v>
      </c>
      <c r="E36">
        <v>0.15</v>
      </c>
      <c r="F36">
        <v>3.59</v>
      </c>
      <c r="G36">
        <v>9.07</v>
      </c>
      <c r="H36">
        <v>12.65</v>
      </c>
      <c r="I36">
        <v>17.98</v>
      </c>
      <c r="J36">
        <v>22.4</v>
      </c>
      <c r="K36">
        <v>44.47</v>
      </c>
      <c r="L36">
        <v>3.43</v>
      </c>
      <c r="M36">
        <v>534.75</v>
      </c>
      <c r="N36">
        <v>23.37</v>
      </c>
      <c r="O36">
        <v>160.11000000000001</v>
      </c>
      <c r="P36">
        <v>1.35</v>
      </c>
    </row>
    <row r="37" spans="1:16" x14ac:dyDescent="0.35">
      <c r="A37" s="1">
        <v>40582</v>
      </c>
      <c r="B37" s="2">
        <v>0.5</v>
      </c>
      <c r="D37">
        <v>54.06</v>
      </c>
      <c r="E37">
        <v>0.12</v>
      </c>
      <c r="F37">
        <v>3.91</v>
      </c>
      <c r="G37">
        <v>8.1300000000000008</v>
      </c>
      <c r="H37">
        <v>12.04</v>
      </c>
      <c r="I37">
        <v>18.66</v>
      </c>
      <c r="J37">
        <v>20.7</v>
      </c>
      <c r="K37">
        <v>27.57</v>
      </c>
      <c r="L37">
        <v>5.82</v>
      </c>
      <c r="M37">
        <v>529.61</v>
      </c>
      <c r="N37">
        <v>23.24</v>
      </c>
      <c r="O37">
        <v>140.06</v>
      </c>
      <c r="P37">
        <v>2.4900000000000002</v>
      </c>
    </row>
    <row r="38" spans="1:16" x14ac:dyDescent="0.35">
      <c r="A38" s="1">
        <v>40582</v>
      </c>
      <c r="B38" s="2">
        <v>0.54166666666666663</v>
      </c>
      <c r="D38">
        <v>55.41</v>
      </c>
      <c r="E38">
        <v>0.11</v>
      </c>
      <c r="F38">
        <v>2.5099999999999998</v>
      </c>
      <c r="G38">
        <v>6.07</v>
      </c>
      <c r="H38">
        <v>8.58</v>
      </c>
      <c r="I38">
        <v>21.35</v>
      </c>
      <c r="J38">
        <v>18.600000000000001</v>
      </c>
      <c r="K38">
        <v>21.34</v>
      </c>
      <c r="L38">
        <v>5.94</v>
      </c>
      <c r="M38">
        <v>543.02</v>
      </c>
      <c r="N38">
        <v>23.38</v>
      </c>
      <c r="O38">
        <v>134.59</v>
      </c>
      <c r="P38">
        <v>3.37</v>
      </c>
    </row>
    <row r="39" spans="1:16" x14ac:dyDescent="0.35">
      <c r="A39" s="1">
        <v>40582</v>
      </c>
      <c r="B39" s="2">
        <v>0.58333333333333337</v>
      </c>
      <c r="D39">
        <v>54.53</v>
      </c>
      <c r="E39">
        <v>0.13</v>
      </c>
      <c r="F39">
        <v>1.68</v>
      </c>
      <c r="G39">
        <v>6.23</v>
      </c>
      <c r="H39">
        <v>7.91</v>
      </c>
      <c r="I39">
        <v>21.58</v>
      </c>
      <c r="J39">
        <v>24.54</v>
      </c>
      <c r="K39">
        <v>24.09</v>
      </c>
      <c r="L39">
        <v>3.1</v>
      </c>
      <c r="M39">
        <v>534.74</v>
      </c>
      <c r="N39">
        <v>23.48</v>
      </c>
      <c r="O39">
        <v>124.13</v>
      </c>
      <c r="P39">
        <v>3.27</v>
      </c>
    </row>
    <row r="40" spans="1:16" x14ac:dyDescent="0.35">
      <c r="A40" s="1">
        <v>40582</v>
      </c>
      <c r="B40" s="2">
        <v>0.625</v>
      </c>
      <c r="D40">
        <v>50.76</v>
      </c>
      <c r="E40">
        <v>0.11</v>
      </c>
      <c r="F40">
        <v>0.5</v>
      </c>
      <c r="G40">
        <v>3.93</v>
      </c>
      <c r="H40">
        <v>4.43</v>
      </c>
      <c r="I40">
        <v>24.28</v>
      </c>
      <c r="J40">
        <v>17.920000000000002</v>
      </c>
      <c r="K40">
        <v>25.18</v>
      </c>
      <c r="L40">
        <v>0.35</v>
      </c>
      <c r="M40">
        <v>496.99</v>
      </c>
      <c r="N40">
        <v>24.35</v>
      </c>
      <c r="O40">
        <v>108.76</v>
      </c>
      <c r="P40">
        <v>3.16</v>
      </c>
    </row>
    <row r="41" spans="1:16" x14ac:dyDescent="0.35">
      <c r="A41" s="1">
        <v>40582</v>
      </c>
      <c r="B41" s="2">
        <v>0.66666666666666663</v>
      </c>
      <c r="D41">
        <v>48.88</v>
      </c>
      <c r="E41">
        <v>0.12</v>
      </c>
      <c r="F41">
        <v>0.56000000000000005</v>
      </c>
      <c r="G41">
        <v>4.6399999999999997</v>
      </c>
      <c r="H41">
        <v>5.21</v>
      </c>
      <c r="I41">
        <v>25.27</v>
      </c>
      <c r="J41">
        <v>17.059999999999999</v>
      </c>
      <c r="K41">
        <v>29.97</v>
      </c>
      <c r="L41">
        <v>0.23</v>
      </c>
      <c r="M41">
        <v>478.15</v>
      </c>
      <c r="N41">
        <v>24.39</v>
      </c>
      <c r="O41">
        <v>103.75</v>
      </c>
      <c r="P41">
        <v>2.73</v>
      </c>
    </row>
    <row r="42" spans="1:16" x14ac:dyDescent="0.35">
      <c r="A42" s="1">
        <v>40582</v>
      </c>
      <c r="B42" s="2">
        <v>0.70833333333333337</v>
      </c>
      <c r="D42">
        <v>48.57</v>
      </c>
      <c r="E42">
        <v>0.13</v>
      </c>
      <c r="F42">
        <v>0.62</v>
      </c>
      <c r="G42">
        <v>5.41</v>
      </c>
      <c r="H42">
        <v>6.03</v>
      </c>
      <c r="I42">
        <v>23.21</v>
      </c>
      <c r="J42">
        <v>18.29</v>
      </c>
      <c r="K42">
        <v>24.23</v>
      </c>
      <c r="L42">
        <v>0.17</v>
      </c>
      <c r="M42">
        <v>474.19</v>
      </c>
      <c r="N42">
        <v>23.47</v>
      </c>
      <c r="O42">
        <v>109.91</v>
      </c>
      <c r="P42">
        <v>3.1</v>
      </c>
    </row>
    <row r="43" spans="1:16" x14ac:dyDescent="0.35">
      <c r="A43" s="1">
        <v>40582</v>
      </c>
      <c r="B43" s="2">
        <v>0.75</v>
      </c>
      <c r="D43">
        <v>52.15</v>
      </c>
      <c r="E43">
        <v>0.14000000000000001</v>
      </c>
      <c r="F43">
        <v>-0.21</v>
      </c>
      <c r="G43">
        <v>5.87</v>
      </c>
      <c r="H43">
        <v>5.67</v>
      </c>
      <c r="I43">
        <v>21.42</v>
      </c>
      <c r="J43">
        <v>17.989999999999998</v>
      </c>
      <c r="K43">
        <v>18.88</v>
      </c>
      <c r="L43">
        <v>0.1</v>
      </c>
      <c r="M43">
        <v>510.07</v>
      </c>
      <c r="N43">
        <v>22.73</v>
      </c>
      <c r="O43">
        <v>114.74</v>
      </c>
      <c r="P43">
        <v>3</v>
      </c>
    </row>
    <row r="44" spans="1:16" x14ac:dyDescent="0.35">
      <c r="A44" s="1">
        <v>40582</v>
      </c>
      <c r="B44" s="2">
        <v>0.79166666666666663</v>
      </c>
      <c r="D44">
        <v>54.52</v>
      </c>
      <c r="E44">
        <v>0.15</v>
      </c>
      <c r="F44">
        <v>-0.65</v>
      </c>
      <c r="G44">
        <v>6.16</v>
      </c>
      <c r="H44">
        <v>5.51</v>
      </c>
      <c r="I44">
        <v>19.22</v>
      </c>
      <c r="J44">
        <v>17.77</v>
      </c>
      <c r="K44">
        <v>21.37</v>
      </c>
      <c r="L44">
        <v>0.04</v>
      </c>
      <c r="M44">
        <v>533.46</v>
      </c>
      <c r="N44">
        <v>22.3</v>
      </c>
      <c r="O44">
        <v>110.77</v>
      </c>
      <c r="P44">
        <v>2.1</v>
      </c>
    </row>
    <row r="45" spans="1:16" x14ac:dyDescent="0.35">
      <c r="A45" s="1">
        <v>40582</v>
      </c>
      <c r="B45" s="2">
        <v>0.83333333333333337</v>
      </c>
      <c r="D45">
        <v>57.93</v>
      </c>
      <c r="E45">
        <v>0.18</v>
      </c>
      <c r="F45">
        <v>-0.93</v>
      </c>
      <c r="G45">
        <v>6.48</v>
      </c>
      <c r="H45">
        <v>5.55</v>
      </c>
      <c r="I45">
        <v>18.96</v>
      </c>
      <c r="J45">
        <v>20.89</v>
      </c>
      <c r="K45">
        <v>19.829999999999998</v>
      </c>
      <c r="L45">
        <v>0.09</v>
      </c>
      <c r="M45">
        <v>567.14</v>
      </c>
      <c r="N45">
        <v>21.93</v>
      </c>
      <c r="O45">
        <v>116.54</v>
      </c>
      <c r="P45">
        <v>1.81</v>
      </c>
    </row>
    <row r="46" spans="1:16" x14ac:dyDescent="0.35">
      <c r="A46" s="1">
        <v>40582</v>
      </c>
      <c r="B46" s="2">
        <v>0.875</v>
      </c>
      <c r="D46">
        <v>59</v>
      </c>
      <c r="E46">
        <v>0.17</v>
      </c>
      <c r="F46">
        <v>-0.92</v>
      </c>
      <c r="G46">
        <v>6.53</v>
      </c>
      <c r="H46">
        <v>5.61</v>
      </c>
      <c r="I46">
        <v>17.739999999999998</v>
      </c>
      <c r="J46">
        <v>17.61</v>
      </c>
      <c r="K46">
        <v>21.5</v>
      </c>
      <c r="L46">
        <v>0.01</v>
      </c>
      <c r="M46">
        <v>577.69000000000005</v>
      </c>
      <c r="N46">
        <v>21.91</v>
      </c>
      <c r="O46">
        <v>113.96</v>
      </c>
      <c r="P46">
        <v>1.44</v>
      </c>
    </row>
    <row r="47" spans="1:16" x14ac:dyDescent="0.35">
      <c r="A47" s="1">
        <v>40582</v>
      </c>
      <c r="B47" s="2">
        <v>0.91666666666666663</v>
      </c>
      <c r="D47">
        <v>63.63</v>
      </c>
      <c r="E47">
        <v>0.18</v>
      </c>
      <c r="F47">
        <v>-0.98</v>
      </c>
      <c r="G47">
        <v>9.68</v>
      </c>
      <c r="H47">
        <v>8.6999999999999993</v>
      </c>
      <c r="I47">
        <v>14.04</v>
      </c>
      <c r="J47">
        <v>17.350000000000001</v>
      </c>
      <c r="K47">
        <v>19.559999999999999</v>
      </c>
      <c r="L47">
        <v>2.04</v>
      </c>
      <c r="M47">
        <v>623.70000000000005</v>
      </c>
      <c r="N47">
        <v>21.74</v>
      </c>
      <c r="O47">
        <v>137.99</v>
      </c>
      <c r="P47">
        <v>1.61</v>
      </c>
    </row>
    <row r="48" spans="1:16" x14ac:dyDescent="0.35">
      <c r="A48" s="1">
        <v>40582</v>
      </c>
      <c r="B48" s="2">
        <v>0.95833333333333337</v>
      </c>
      <c r="D48">
        <v>64.84</v>
      </c>
      <c r="E48">
        <v>0.2</v>
      </c>
      <c r="F48">
        <v>-0.93</v>
      </c>
      <c r="G48">
        <v>7.7</v>
      </c>
      <c r="H48">
        <v>6.77</v>
      </c>
      <c r="I48">
        <v>13.95</v>
      </c>
      <c r="J48">
        <v>16.559999999999999</v>
      </c>
      <c r="K48">
        <v>21.05</v>
      </c>
      <c r="L48">
        <v>4.16</v>
      </c>
      <c r="M48">
        <v>636.01</v>
      </c>
      <c r="N48">
        <v>21.55</v>
      </c>
      <c r="O48">
        <v>133.41</v>
      </c>
      <c r="P48">
        <v>1.77</v>
      </c>
    </row>
    <row r="49" spans="1:16" x14ac:dyDescent="0.35">
      <c r="A49" s="1">
        <v>40582</v>
      </c>
      <c r="B49" s="18">
        <v>0</v>
      </c>
      <c r="D49">
        <v>65.52</v>
      </c>
      <c r="E49">
        <v>0.19</v>
      </c>
      <c r="F49">
        <v>-0.81</v>
      </c>
      <c r="G49">
        <v>10.35</v>
      </c>
      <c r="H49">
        <v>9.5500000000000007</v>
      </c>
      <c r="I49">
        <v>11.81</v>
      </c>
      <c r="J49">
        <v>16.13</v>
      </c>
      <c r="K49">
        <v>23.62</v>
      </c>
      <c r="L49">
        <v>2.74</v>
      </c>
      <c r="M49">
        <v>642.71</v>
      </c>
      <c r="N49">
        <v>21.43</v>
      </c>
      <c r="O49">
        <v>140.49</v>
      </c>
      <c r="P49">
        <v>1.22</v>
      </c>
    </row>
    <row r="50" spans="1:16" x14ac:dyDescent="0.35">
      <c r="A50" s="1">
        <v>40583</v>
      </c>
      <c r="B50" s="2">
        <v>4.1666666666666664E-2</v>
      </c>
      <c r="D50">
        <v>69.23</v>
      </c>
      <c r="E50">
        <v>0.19</v>
      </c>
      <c r="F50">
        <v>-0.87</v>
      </c>
      <c r="G50">
        <v>7.02</v>
      </c>
      <c r="H50">
        <v>6.16</v>
      </c>
      <c r="I50">
        <v>14.23</v>
      </c>
      <c r="J50">
        <v>16.41</v>
      </c>
      <c r="K50">
        <v>29.87</v>
      </c>
      <c r="L50">
        <v>0.61</v>
      </c>
      <c r="M50">
        <v>679.57</v>
      </c>
      <c r="N50">
        <v>20.92</v>
      </c>
      <c r="O50">
        <v>177.1</v>
      </c>
      <c r="P50">
        <v>1.43</v>
      </c>
    </row>
    <row r="51" spans="1:16" x14ac:dyDescent="0.35">
      <c r="A51" s="1">
        <v>40583</v>
      </c>
      <c r="B51" s="2">
        <v>8.3333333333333329E-2</v>
      </c>
      <c r="D51">
        <v>74.41</v>
      </c>
      <c r="E51">
        <v>0.22</v>
      </c>
      <c r="F51">
        <v>-0.95</v>
      </c>
      <c r="G51">
        <v>5.19</v>
      </c>
      <c r="H51">
        <v>4.24</v>
      </c>
      <c r="I51">
        <v>15.72</v>
      </c>
      <c r="J51">
        <v>17.25</v>
      </c>
      <c r="K51">
        <v>29.75</v>
      </c>
      <c r="L51">
        <v>0.57999999999999996</v>
      </c>
      <c r="M51">
        <v>731.53</v>
      </c>
      <c r="N51">
        <v>20.11</v>
      </c>
      <c r="O51">
        <v>175.73</v>
      </c>
      <c r="P51">
        <v>1.36</v>
      </c>
    </row>
    <row r="52" spans="1:16" x14ac:dyDescent="0.35">
      <c r="A52" s="1">
        <v>40583</v>
      </c>
      <c r="B52" s="2">
        <v>0.125</v>
      </c>
      <c r="D52">
        <v>74.63</v>
      </c>
      <c r="E52">
        <v>0.25</v>
      </c>
      <c r="F52">
        <v>-1.04</v>
      </c>
      <c r="G52">
        <v>5.0199999999999996</v>
      </c>
      <c r="H52">
        <v>3.98</v>
      </c>
      <c r="I52">
        <v>14.99</v>
      </c>
      <c r="J52">
        <v>18.579999999999998</v>
      </c>
      <c r="K52">
        <v>33.520000000000003</v>
      </c>
      <c r="L52">
        <v>0.56999999999999995</v>
      </c>
      <c r="M52">
        <v>734.12</v>
      </c>
      <c r="N52">
        <v>19.760000000000002</v>
      </c>
      <c r="O52">
        <v>187.94</v>
      </c>
      <c r="P52">
        <v>0.99</v>
      </c>
    </row>
    <row r="53" spans="1:16" x14ac:dyDescent="0.35">
      <c r="A53" s="1">
        <v>40583</v>
      </c>
      <c r="B53" s="2">
        <v>0.16666666666666666</v>
      </c>
      <c r="D53">
        <v>72.540000000000006</v>
      </c>
      <c r="E53">
        <v>0.27</v>
      </c>
      <c r="F53">
        <v>-1.02</v>
      </c>
      <c r="G53">
        <v>6.48</v>
      </c>
      <c r="H53">
        <v>5.45</v>
      </c>
      <c r="I53">
        <v>12.61</v>
      </c>
      <c r="J53">
        <v>21.26</v>
      </c>
      <c r="K53">
        <v>30.93</v>
      </c>
      <c r="L53">
        <v>1.27</v>
      </c>
      <c r="M53">
        <v>713.09</v>
      </c>
      <c r="N53">
        <v>19.22</v>
      </c>
      <c r="O53">
        <v>187.56</v>
      </c>
      <c r="P53">
        <v>0.93</v>
      </c>
    </row>
    <row r="54" spans="1:16" x14ac:dyDescent="0.35">
      <c r="A54" s="1">
        <v>40583</v>
      </c>
      <c r="B54" s="2">
        <v>0.20833333333333334</v>
      </c>
      <c r="D54">
        <v>74.099999999999994</v>
      </c>
      <c r="E54">
        <v>0.27</v>
      </c>
      <c r="F54">
        <v>-0.68</v>
      </c>
      <c r="G54">
        <v>11.15</v>
      </c>
      <c r="H54">
        <v>10.46</v>
      </c>
      <c r="I54">
        <v>8.18</v>
      </c>
      <c r="J54">
        <v>19.149999999999999</v>
      </c>
      <c r="K54">
        <v>22.88</v>
      </c>
      <c r="L54">
        <v>1.28</v>
      </c>
      <c r="M54">
        <v>728.52</v>
      </c>
      <c r="N54">
        <v>18.12</v>
      </c>
      <c r="O54">
        <v>196.09</v>
      </c>
      <c r="P54">
        <v>0.66</v>
      </c>
    </row>
    <row r="55" spans="1:16" x14ac:dyDescent="0.35">
      <c r="A55" s="1">
        <v>40583</v>
      </c>
      <c r="B55" s="2">
        <v>0.25</v>
      </c>
      <c r="D55">
        <v>79.31</v>
      </c>
      <c r="E55">
        <v>0.26</v>
      </c>
      <c r="F55">
        <v>4.34</v>
      </c>
      <c r="G55">
        <v>17.059999999999999</v>
      </c>
      <c r="H55">
        <v>21.4</v>
      </c>
      <c r="I55">
        <v>1.19</v>
      </c>
      <c r="J55">
        <v>20.02</v>
      </c>
      <c r="K55">
        <v>65.739999999999995</v>
      </c>
      <c r="L55">
        <v>0.47</v>
      </c>
      <c r="M55">
        <v>780.44</v>
      </c>
      <c r="N55">
        <v>17.079999999999998</v>
      </c>
      <c r="O55">
        <v>240.63</v>
      </c>
      <c r="P55">
        <v>0.18</v>
      </c>
    </row>
    <row r="56" spans="1:16" x14ac:dyDescent="0.35">
      <c r="A56" s="1">
        <v>40583</v>
      </c>
      <c r="B56" s="2">
        <v>0.29166666666666669</v>
      </c>
      <c r="D56">
        <v>71.2</v>
      </c>
      <c r="E56">
        <v>0.28000000000000003</v>
      </c>
      <c r="F56">
        <v>16.37</v>
      </c>
      <c r="G56">
        <v>15.72</v>
      </c>
      <c r="H56">
        <v>32.090000000000003</v>
      </c>
      <c r="I56">
        <v>2.72</v>
      </c>
      <c r="J56">
        <v>25.3</v>
      </c>
      <c r="K56">
        <v>46.27</v>
      </c>
      <c r="L56">
        <v>0.49</v>
      </c>
      <c r="M56">
        <v>700.14</v>
      </c>
      <c r="N56">
        <v>18.79</v>
      </c>
      <c r="O56">
        <v>213.1</v>
      </c>
      <c r="P56">
        <v>0.67</v>
      </c>
    </row>
    <row r="57" spans="1:16" x14ac:dyDescent="0.35">
      <c r="A57" s="1">
        <v>40583</v>
      </c>
      <c r="B57" s="2">
        <v>0.33333333333333331</v>
      </c>
      <c r="D57">
        <v>61.37</v>
      </c>
      <c r="E57">
        <v>0.25</v>
      </c>
      <c r="F57">
        <v>8.0299999999999994</v>
      </c>
      <c r="G57">
        <v>10.26</v>
      </c>
      <c r="H57">
        <v>18.3</v>
      </c>
      <c r="I57">
        <v>8.66</v>
      </c>
      <c r="J57">
        <v>30.24</v>
      </c>
      <c r="K57">
        <v>42.02</v>
      </c>
      <c r="L57">
        <v>0.79</v>
      </c>
      <c r="M57">
        <v>601.72</v>
      </c>
      <c r="N57">
        <v>21.37</v>
      </c>
      <c r="O57">
        <v>193.76</v>
      </c>
      <c r="P57">
        <v>1.1000000000000001</v>
      </c>
    </row>
    <row r="58" spans="1:16" x14ac:dyDescent="0.35">
      <c r="A58" s="1">
        <v>40583</v>
      </c>
      <c r="B58" s="2">
        <v>0.375</v>
      </c>
      <c r="D58">
        <v>59.54</v>
      </c>
      <c r="E58">
        <v>0.21</v>
      </c>
      <c r="F58">
        <v>7.7</v>
      </c>
      <c r="G58">
        <v>8.44</v>
      </c>
      <c r="H58">
        <v>16.14</v>
      </c>
      <c r="I58">
        <v>10.89</v>
      </c>
      <c r="J58">
        <v>27.85</v>
      </c>
      <c r="K58">
        <v>34.4</v>
      </c>
      <c r="L58">
        <v>1.2</v>
      </c>
      <c r="M58">
        <v>584.39</v>
      </c>
      <c r="N58">
        <v>22.1</v>
      </c>
      <c r="O58">
        <v>169.16</v>
      </c>
      <c r="P58">
        <v>1.6</v>
      </c>
    </row>
    <row r="59" spans="1:16" x14ac:dyDescent="0.35">
      <c r="A59" s="1">
        <v>40583</v>
      </c>
      <c r="B59" s="2">
        <v>0.41666666666666669</v>
      </c>
      <c r="D59">
        <v>57.02</v>
      </c>
      <c r="E59">
        <v>0.19</v>
      </c>
      <c r="F59">
        <v>4.07</v>
      </c>
      <c r="G59">
        <v>6.68</v>
      </c>
      <c r="H59">
        <v>10.75</v>
      </c>
      <c r="I59">
        <v>15.17</v>
      </c>
      <c r="J59">
        <v>22.25</v>
      </c>
      <c r="K59">
        <v>43.32</v>
      </c>
      <c r="L59">
        <v>1.44</v>
      </c>
      <c r="M59">
        <v>559.66999999999996</v>
      </c>
      <c r="N59">
        <v>23.12</v>
      </c>
      <c r="O59">
        <v>132.85</v>
      </c>
      <c r="P59">
        <v>1.41</v>
      </c>
    </row>
    <row r="60" spans="1:16" x14ac:dyDescent="0.35">
      <c r="A60" s="1">
        <v>40583</v>
      </c>
      <c r="B60" s="2">
        <v>0.45833333333333331</v>
      </c>
      <c r="D60">
        <v>59.13</v>
      </c>
      <c r="E60">
        <v>0.14000000000000001</v>
      </c>
      <c r="F60">
        <v>3.12</v>
      </c>
      <c r="G60">
        <v>7.28</v>
      </c>
      <c r="H60">
        <v>10.39</v>
      </c>
      <c r="I60">
        <v>16.64</v>
      </c>
      <c r="J60">
        <v>19.04</v>
      </c>
      <c r="K60">
        <v>45.25</v>
      </c>
      <c r="L60">
        <v>2.52</v>
      </c>
      <c r="M60">
        <v>579.91999999999996</v>
      </c>
      <c r="N60">
        <v>23.21</v>
      </c>
      <c r="O60">
        <v>128.22</v>
      </c>
      <c r="P60">
        <v>1.55</v>
      </c>
    </row>
    <row r="61" spans="1:16" x14ac:dyDescent="0.35">
      <c r="A61" s="1">
        <v>40583</v>
      </c>
      <c r="B61" s="2">
        <v>0.5</v>
      </c>
      <c r="D61">
        <v>67.02</v>
      </c>
      <c r="E61">
        <v>0.12</v>
      </c>
      <c r="F61">
        <v>1.1000000000000001</v>
      </c>
      <c r="G61">
        <v>6.94</v>
      </c>
      <c r="H61">
        <v>8.0399999999999991</v>
      </c>
      <c r="I61">
        <v>17.809999999999999</v>
      </c>
      <c r="J61">
        <v>18.14</v>
      </c>
      <c r="K61">
        <v>63.77</v>
      </c>
      <c r="L61">
        <v>1.23</v>
      </c>
      <c r="M61">
        <v>658.6</v>
      </c>
      <c r="N61">
        <v>22.25</v>
      </c>
      <c r="O61">
        <v>130.94999999999999</v>
      </c>
      <c r="P61">
        <v>1.64</v>
      </c>
    </row>
    <row r="62" spans="1:16" x14ac:dyDescent="0.35">
      <c r="A62" s="1">
        <v>40583</v>
      </c>
      <c r="B62" s="2">
        <v>0.54166666666666663</v>
      </c>
      <c r="D62">
        <v>62.67</v>
      </c>
      <c r="E62">
        <v>0.1</v>
      </c>
      <c r="F62">
        <v>0.68</v>
      </c>
      <c r="G62">
        <v>7.86</v>
      </c>
      <c r="H62">
        <v>8.5399999999999991</v>
      </c>
      <c r="I62">
        <v>17.71</v>
      </c>
      <c r="J62">
        <v>13.14</v>
      </c>
      <c r="K62">
        <v>77.7</v>
      </c>
      <c r="L62">
        <v>0.28999999999999998</v>
      </c>
      <c r="M62">
        <v>615.39</v>
      </c>
      <c r="N62">
        <v>23.39</v>
      </c>
      <c r="O62">
        <v>231.29</v>
      </c>
      <c r="P62">
        <v>0.27</v>
      </c>
    </row>
    <row r="63" spans="1:16" x14ac:dyDescent="0.35">
      <c r="A63" s="1">
        <v>40583</v>
      </c>
      <c r="B63" s="2">
        <v>0.58333333333333337</v>
      </c>
      <c r="D63">
        <v>59.59</v>
      </c>
      <c r="E63">
        <v>0.13</v>
      </c>
      <c r="F63">
        <v>0.36</v>
      </c>
      <c r="G63">
        <v>7.98</v>
      </c>
      <c r="H63">
        <v>8.34</v>
      </c>
      <c r="I63">
        <v>23.55</v>
      </c>
      <c r="J63">
        <v>18.54</v>
      </c>
      <c r="K63">
        <v>24.33</v>
      </c>
      <c r="L63">
        <v>0.85</v>
      </c>
      <c r="M63">
        <v>584.39</v>
      </c>
      <c r="N63">
        <v>23.85</v>
      </c>
      <c r="O63">
        <v>125.12</v>
      </c>
      <c r="P63">
        <v>1.99</v>
      </c>
    </row>
    <row r="64" spans="1:16" x14ac:dyDescent="0.35">
      <c r="A64" s="1">
        <v>40583</v>
      </c>
      <c r="B64" s="2">
        <v>0.625</v>
      </c>
      <c r="D64">
        <v>62.21</v>
      </c>
      <c r="E64">
        <v>0.08</v>
      </c>
      <c r="F64">
        <v>0.19</v>
      </c>
      <c r="G64">
        <v>6.47</v>
      </c>
      <c r="H64">
        <v>6.66</v>
      </c>
      <c r="I64">
        <v>20.82</v>
      </c>
      <c r="J64">
        <v>14.24</v>
      </c>
      <c r="K64">
        <v>23.73</v>
      </c>
      <c r="L64">
        <v>0.09</v>
      </c>
      <c r="M64">
        <v>610.82000000000005</v>
      </c>
      <c r="N64">
        <v>23.6</v>
      </c>
      <c r="O64">
        <v>98.7</v>
      </c>
      <c r="P64">
        <v>2.83</v>
      </c>
    </row>
    <row r="65" spans="1:16" x14ac:dyDescent="0.35">
      <c r="A65" s="1">
        <v>40583</v>
      </c>
      <c r="B65" s="2">
        <v>0.66666666666666663</v>
      </c>
      <c r="D65">
        <v>62.41</v>
      </c>
      <c r="E65">
        <v>0.05</v>
      </c>
      <c r="F65">
        <v>0.6</v>
      </c>
      <c r="G65">
        <v>3.32</v>
      </c>
      <c r="H65">
        <v>3.92</v>
      </c>
      <c r="I65">
        <v>16.66</v>
      </c>
      <c r="J65">
        <v>7.35</v>
      </c>
      <c r="K65">
        <v>23.67</v>
      </c>
      <c r="L65">
        <v>-0.35</v>
      </c>
      <c r="M65">
        <v>612.61</v>
      </c>
      <c r="N65">
        <v>23.33</v>
      </c>
      <c r="O65">
        <v>99.41</v>
      </c>
      <c r="P65">
        <v>2.91</v>
      </c>
    </row>
    <row r="66" spans="1:16" x14ac:dyDescent="0.35">
      <c r="A66" s="1">
        <v>40583</v>
      </c>
      <c r="B66" s="2">
        <v>0.70833333333333337</v>
      </c>
      <c r="D66">
        <v>61.97</v>
      </c>
      <c r="E66">
        <v>7.0000000000000007E-2</v>
      </c>
      <c r="F66">
        <v>0.63</v>
      </c>
      <c r="G66">
        <v>4.25</v>
      </c>
      <c r="H66">
        <v>4.88</v>
      </c>
      <c r="I66">
        <v>15.12</v>
      </c>
      <c r="J66">
        <v>13.69</v>
      </c>
      <c r="K66">
        <v>23.44</v>
      </c>
      <c r="L66">
        <v>-0.32</v>
      </c>
      <c r="M66">
        <v>608.14</v>
      </c>
      <c r="N66">
        <v>23.48</v>
      </c>
      <c r="O66">
        <v>99.03</v>
      </c>
      <c r="P66">
        <v>3</v>
      </c>
    </row>
    <row r="67" spans="1:16" x14ac:dyDescent="0.35">
      <c r="A67" s="1">
        <v>40583</v>
      </c>
      <c r="B67" s="2">
        <v>0.75</v>
      </c>
      <c r="D67">
        <v>63.67</v>
      </c>
      <c r="E67">
        <v>0.09</v>
      </c>
      <c r="F67">
        <v>0.13</v>
      </c>
      <c r="G67">
        <v>3.85</v>
      </c>
      <c r="H67">
        <v>3.98</v>
      </c>
      <c r="I67">
        <v>13.91</v>
      </c>
      <c r="J67">
        <v>12.82</v>
      </c>
      <c r="K67">
        <v>22.81</v>
      </c>
      <c r="L67">
        <v>-0.43</v>
      </c>
      <c r="M67">
        <v>624.98</v>
      </c>
      <c r="N67">
        <v>22.97</v>
      </c>
      <c r="O67">
        <v>88.59</v>
      </c>
      <c r="P67">
        <v>2.79</v>
      </c>
    </row>
    <row r="68" spans="1:16" x14ac:dyDescent="0.35">
      <c r="A68" s="1">
        <v>40583</v>
      </c>
      <c r="B68" s="2">
        <v>0.79166666666666663</v>
      </c>
      <c r="D68">
        <v>69.010000000000005</v>
      </c>
      <c r="E68">
        <v>0.12</v>
      </c>
      <c r="F68">
        <v>-0.28999999999999998</v>
      </c>
      <c r="G68">
        <v>4.17</v>
      </c>
      <c r="H68">
        <v>3.87</v>
      </c>
      <c r="I68">
        <v>12.51</v>
      </c>
      <c r="J68">
        <v>17.18</v>
      </c>
      <c r="K68">
        <v>22.77</v>
      </c>
      <c r="L68">
        <v>-0.33</v>
      </c>
      <c r="M68">
        <v>677.41</v>
      </c>
      <c r="N68">
        <v>22.34</v>
      </c>
      <c r="O68">
        <v>93.54</v>
      </c>
      <c r="P68">
        <v>2.4900000000000002</v>
      </c>
    </row>
    <row r="69" spans="1:16" x14ac:dyDescent="0.35">
      <c r="A69" s="1">
        <v>40583</v>
      </c>
      <c r="B69" s="2">
        <v>0.83333333333333337</v>
      </c>
      <c r="D69">
        <v>73.92</v>
      </c>
      <c r="E69">
        <v>0.15</v>
      </c>
      <c r="F69">
        <v>-1.05</v>
      </c>
      <c r="G69">
        <v>5</v>
      </c>
      <c r="H69">
        <v>3.95</v>
      </c>
      <c r="I69">
        <v>11.03</v>
      </c>
      <c r="J69">
        <v>16.940000000000001</v>
      </c>
      <c r="K69">
        <v>26.83</v>
      </c>
      <c r="L69">
        <v>-0.31</v>
      </c>
      <c r="M69">
        <v>726.3</v>
      </c>
      <c r="N69">
        <v>21.63</v>
      </c>
      <c r="O69">
        <v>101.15</v>
      </c>
      <c r="P69">
        <v>1.29</v>
      </c>
    </row>
    <row r="70" spans="1:16" x14ac:dyDescent="0.35">
      <c r="A70" s="1">
        <v>40583</v>
      </c>
      <c r="B70" s="2">
        <v>0.875</v>
      </c>
      <c r="D70">
        <v>78.33</v>
      </c>
      <c r="E70">
        <v>0.16</v>
      </c>
      <c r="F70">
        <v>-0.91</v>
      </c>
      <c r="G70">
        <v>7.52</v>
      </c>
      <c r="H70">
        <v>6.61</v>
      </c>
      <c r="I70">
        <v>7.53</v>
      </c>
      <c r="J70">
        <v>16.57</v>
      </c>
      <c r="K70">
        <v>32.57</v>
      </c>
      <c r="L70">
        <v>-0.26</v>
      </c>
      <c r="M70">
        <v>770.24</v>
      </c>
      <c r="N70">
        <v>20.88</v>
      </c>
      <c r="O70">
        <v>132.33000000000001</v>
      </c>
      <c r="P70">
        <v>0.55000000000000004</v>
      </c>
    </row>
    <row r="71" spans="1:16" x14ac:dyDescent="0.35">
      <c r="A71" s="1">
        <v>40583</v>
      </c>
      <c r="B71" s="2">
        <v>0.91666666666666663</v>
      </c>
      <c r="D71">
        <v>83.7</v>
      </c>
      <c r="E71">
        <v>0.18</v>
      </c>
      <c r="F71">
        <v>6.33</v>
      </c>
      <c r="G71">
        <v>10.83</v>
      </c>
      <c r="H71">
        <v>17.16</v>
      </c>
      <c r="I71">
        <v>2.61</v>
      </c>
      <c r="J71">
        <v>17.52</v>
      </c>
      <c r="K71">
        <v>71.16</v>
      </c>
      <c r="L71">
        <v>-0.23</v>
      </c>
      <c r="M71">
        <v>824.13</v>
      </c>
      <c r="N71">
        <v>19.93</v>
      </c>
      <c r="O71">
        <v>37.770000000000003</v>
      </c>
      <c r="P71">
        <v>0.14000000000000001</v>
      </c>
    </row>
    <row r="72" spans="1:16" x14ac:dyDescent="0.35">
      <c r="A72" s="1">
        <v>40583</v>
      </c>
      <c r="B72" s="2">
        <v>0.95833333333333337</v>
      </c>
      <c r="D72">
        <v>85.72</v>
      </c>
      <c r="E72">
        <v>0.32</v>
      </c>
      <c r="F72">
        <v>19.53</v>
      </c>
      <c r="G72">
        <v>11.74</v>
      </c>
      <c r="H72">
        <v>31.27</v>
      </c>
      <c r="I72">
        <v>0.2</v>
      </c>
      <c r="J72">
        <v>84.79</v>
      </c>
      <c r="K72">
        <v>37.57</v>
      </c>
      <c r="L72">
        <v>0.08</v>
      </c>
      <c r="M72">
        <v>844.35</v>
      </c>
      <c r="N72">
        <v>19.329999999999998</v>
      </c>
      <c r="O72">
        <v>13.66</v>
      </c>
      <c r="P72">
        <v>0.3</v>
      </c>
    </row>
    <row r="73" spans="1:16" x14ac:dyDescent="0.35">
      <c r="A73" s="1">
        <v>40583</v>
      </c>
      <c r="B73" s="18">
        <v>0</v>
      </c>
      <c r="D73">
        <v>86.88</v>
      </c>
      <c r="E73">
        <v>0.17</v>
      </c>
      <c r="F73">
        <v>17.43</v>
      </c>
      <c r="G73">
        <v>11.18</v>
      </c>
      <c r="H73">
        <v>28.61</v>
      </c>
      <c r="I73">
        <v>0.13</v>
      </c>
      <c r="J73">
        <v>12.6</v>
      </c>
      <c r="K73">
        <v>39.5</v>
      </c>
      <c r="L73">
        <v>0.01</v>
      </c>
      <c r="M73">
        <v>855.94</v>
      </c>
      <c r="N73">
        <v>19.04</v>
      </c>
      <c r="O73">
        <v>358.89</v>
      </c>
      <c r="P73">
        <v>0.37</v>
      </c>
    </row>
    <row r="74" spans="1:16" x14ac:dyDescent="0.35">
      <c r="A74" s="1">
        <v>40584</v>
      </c>
      <c r="B74" s="2">
        <v>4.1666666666666664E-2</v>
      </c>
      <c r="D74">
        <v>89.3</v>
      </c>
      <c r="E74">
        <v>0.16</v>
      </c>
      <c r="F74">
        <v>17.260000000000002</v>
      </c>
      <c r="G74">
        <v>10.19</v>
      </c>
      <c r="H74">
        <v>27.45</v>
      </c>
      <c r="I74">
        <v>0.14000000000000001</v>
      </c>
      <c r="J74">
        <v>10.68</v>
      </c>
      <c r="K74">
        <v>22.42</v>
      </c>
      <c r="L74">
        <v>0.15</v>
      </c>
      <c r="M74">
        <v>880.02</v>
      </c>
      <c r="N74">
        <v>18.28</v>
      </c>
      <c r="O74">
        <v>4.26</v>
      </c>
      <c r="P74">
        <v>0.5</v>
      </c>
    </row>
    <row r="75" spans="1:16" x14ac:dyDescent="0.35">
      <c r="A75" s="1">
        <v>40584</v>
      </c>
      <c r="B75" s="2">
        <v>8.3333333333333329E-2</v>
      </c>
      <c r="D75">
        <v>90.62</v>
      </c>
      <c r="E75">
        <v>0.16</v>
      </c>
      <c r="F75">
        <v>23.34</v>
      </c>
      <c r="G75">
        <v>9.1199999999999992</v>
      </c>
      <c r="H75">
        <v>32.450000000000003</v>
      </c>
      <c r="I75">
        <v>0.14000000000000001</v>
      </c>
      <c r="J75">
        <v>9.8000000000000007</v>
      </c>
      <c r="K75">
        <v>26.63</v>
      </c>
      <c r="L75">
        <v>0.3</v>
      </c>
      <c r="M75">
        <v>893.2</v>
      </c>
      <c r="N75">
        <v>17.77</v>
      </c>
      <c r="O75">
        <v>346.16</v>
      </c>
      <c r="P75">
        <v>0.57999999999999996</v>
      </c>
    </row>
    <row r="76" spans="1:16" x14ac:dyDescent="0.35">
      <c r="A76" s="1">
        <v>40584</v>
      </c>
      <c r="B76" s="2">
        <v>0.125</v>
      </c>
      <c r="D76">
        <v>92.19</v>
      </c>
      <c r="E76">
        <v>0.15</v>
      </c>
      <c r="F76">
        <v>27.82</v>
      </c>
      <c r="G76">
        <v>7.92</v>
      </c>
      <c r="H76">
        <v>35.74</v>
      </c>
      <c r="I76">
        <v>0.15</v>
      </c>
      <c r="J76">
        <v>9.19</v>
      </c>
      <c r="K76">
        <v>69.66</v>
      </c>
      <c r="L76">
        <v>0.34</v>
      </c>
      <c r="M76">
        <v>908.85</v>
      </c>
      <c r="N76">
        <v>17.22</v>
      </c>
      <c r="O76">
        <v>346.47</v>
      </c>
      <c r="P76">
        <v>0.22</v>
      </c>
    </row>
    <row r="77" spans="1:16" x14ac:dyDescent="0.35">
      <c r="A77" s="1">
        <v>40584</v>
      </c>
      <c r="B77" s="2">
        <v>0.16666666666666666</v>
      </c>
      <c r="D77">
        <v>92.82</v>
      </c>
      <c r="E77">
        <v>0.15</v>
      </c>
      <c r="F77">
        <v>29.28</v>
      </c>
      <c r="G77">
        <v>7.25</v>
      </c>
      <c r="H77">
        <v>36.53</v>
      </c>
      <c r="I77">
        <v>0.19</v>
      </c>
      <c r="J77">
        <v>12.24</v>
      </c>
      <c r="K77">
        <v>77.510000000000005</v>
      </c>
      <c r="L77">
        <v>0.34</v>
      </c>
      <c r="M77">
        <v>915.18</v>
      </c>
      <c r="N77">
        <v>17.18</v>
      </c>
      <c r="O77">
        <v>332.12</v>
      </c>
      <c r="P77">
        <v>0.12</v>
      </c>
    </row>
    <row r="78" spans="1:16" x14ac:dyDescent="0.35">
      <c r="A78" s="1">
        <v>40584</v>
      </c>
      <c r="B78" s="2">
        <v>0.20833333333333334</v>
      </c>
      <c r="D78">
        <v>93.17</v>
      </c>
      <c r="E78">
        <v>0.2</v>
      </c>
      <c r="F78">
        <v>60.4</v>
      </c>
      <c r="G78">
        <v>8.25</v>
      </c>
      <c r="H78">
        <v>68.650000000000006</v>
      </c>
      <c r="I78">
        <v>0.18</v>
      </c>
      <c r="J78">
        <v>21.84</v>
      </c>
      <c r="K78">
        <v>51.87</v>
      </c>
      <c r="L78">
        <v>0.76</v>
      </c>
      <c r="M78">
        <v>918.67</v>
      </c>
      <c r="N78">
        <v>17.010000000000002</v>
      </c>
      <c r="O78">
        <v>9.7799999999999994</v>
      </c>
      <c r="P78">
        <v>0.28000000000000003</v>
      </c>
    </row>
    <row r="79" spans="1:16" x14ac:dyDescent="0.35">
      <c r="A79" s="1">
        <v>40584</v>
      </c>
      <c r="B79" s="2">
        <v>0.25</v>
      </c>
      <c r="D79">
        <v>90.39</v>
      </c>
      <c r="E79">
        <v>0.24</v>
      </c>
      <c r="F79">
        <v>63.85</v>
      </c>
      <c r="G79">
        <v>12.07</v>
      </c>
      <c r="H79">
        <v>75.92</v>
      </c>
      <c r="I79">
        <v>0.23</v>
      </c>
      <c r="J79">
        <v>28.54</v>
      </c>
      <c r="K79">
        <v>94.39</v>
      </c>
      <c r="L79">
        <v>1.1100000000000001</v>
      </c>
      <c r="M79">
        <v>891.03</v>
      </c>
      <c r="N79">
        <v>18.22</v>
      </c>
      <c r="O79">
        <v>11.33</v>
      </c>
      <c r="P79">
        <v>0.13</v>
      </c>
    </row>
    <row r="80" spans="1:16" x14ac:dyDescent="0.35">
      <c r="A80" s="1">
        <v>40584</v>
      </c>
      <c r="B80" s="2">
        <v>0.29166666666666669</v>
      </c>
      <c r="D80">
        <v>84.87</v>
      </c>
      <c r="E80">
        <v>0.28999999999999998</v>
      </c>
      <c r="F80">
        <v>59.91</v>
      </c>
      <c r="G80">
        <v>17.53</v>
      </c>
      <c r="H80">
        <v>77.44</v>
      </c>
      <c r="I80">
        <v>0.68</v>
      </c>
      <c r="J80">
        <v>46.22</v>
      </c>
      <c r="K80">
        <v>45.56</v>
      </c>
      <c r="L80">
        <v>1.01</v>
      </c>
      <c r="M80">
        <v>836.29</v>
      </c>
      <c r="N80">
        <v>19.88</v>
      </c>
      <c r="O80">
        <v>343.28</v>
      </c>
      <c r="P80">
        <v>0.41</v>
      </c>
    </row>
    <row r="81" spans="1:16" x14ac:dyDescent="0.35">
      <c r="A81" s="1">
        <v>40584</v>
      </c>
      <c r="B81" s="2">
        <v>0.33333333333333331</v>
      </c>
      <c r="D81">
        <v>72.87</v>
      </c>
      <c r="E81">
        <v>0.19</v>
      </c>
      <c r="F81">
        <v>23.83</v>
      </c>
      <c r="G81">
        <v>14.44</v>
      </c>
      <c r="H81">
        <v>38.270000000000003</v>
      </c>
      <c r="I81">
        <v>3.31</v>
      </c>
      <c r="J81">
        <v>26.29</v>
      </c>
      <c r="K81">
        <v>84.89</v>
      </c>
      <c r="L81">
        <v>0.42</v>
      </c>
      <c r="M81">
        <v>716.84</v>
      </c>
      <c r="N81">
        <v>22.46</v>
      </c>
      <c r="O81">
        <v>324.85000000000002</v>
      </c>
      <c r="P81">
        <v>0.26</v>
      </c>
    </row>
    <row r="82" spans="1:16" x14ac:dyDescent="0.35">
      <c r="A82" s="1">
        <v>40584</v>
      </c>
      <c r="B82" s="2">
        <v>0.375</v>
      </c>
      <c r="D82">
        <v>70.459999999999994</v>
      </c>
      <c r="E82">
        <v>0.15</v>
      </c>
      <c r="F82">
        <v>6.52</v>
      </c>
      <c r="G82">
        <v>10.63</v>
      </c>
      <c r="H82">
        <v>17.149999999999999</v>
      </c>
      <c r="I82">
        <v>7.68</v>
      </c>
      <c r="J82">
        <v>21.66</v>
      </c>
      <c r="K82">
        <v>77.56</v>
      </c>
      <c r="L82">
        <v>0.18</v>
      </c>
      <c r="M82">
        <v>692.35</v>
      </c>
      <c r="N82">
        <v>22.96</v>
      </c>
      <c r="O82">
        <v>119.82</v>
      </c>
      <c r="P82">
        <v>0.6</v>
      </c>
    </row>
    <row r="83" spans="1:16" x14ac:dyDescent="0.35">
      <c r="A83" s="1">
        <v>40584</v>
      </c>
      <c r="B83" s="2">
        <v>0.41666666666666669</v>
      </c>
      <c r="D83">
        <v>74.39</v>
      </c>
      <c r="E83">
        <v>0.2</v>
      </c>
      <c r="F83">
        <v>17.87</v>
      </c>
      <c r="G83">
        <v>16.190000000000001</v>
      </c>
      <c r="H83">
        <v>34.06</v>
      </c>
      <c r="I83">
        <v>4.78</v>
      </c>
      <c r="J83">
        <v>26.38</v>
      </c>
      <c r="K83">
        <v>58.92</v>
      </c>
      <c r="L83">
        <v>0.3</v>
      </c>
      <c r="M83">
        <v>732.07</v>
      </c>
      <c r="N83">
        <v>22.6</v>
      </c>
      <c r="O83">
        <v>321.8</v>
      </c>
      <c r="P83">
        <v>0.57999999999999996</v>
      </c>
    </row>
    <row r="84" spans="1:16" x14ac:dyDescent="0.35">
      <c r="A84" s="1">
        <v>40584</v>
      </c>
      <c r="B84" s="2">
        <v>0.45833333333333331</v>
      </c>
      <c r="D84">
        <v>74.87</v>
      </c>
      <c r="E84">
        <v>0.11</v>
      </c>
      <c r="F84">
        <v>6.66</v>
      </c>
      <c r="G84">
        <v>8.9600000000000009</v>
      </c>
      <c r="H84">
        <v>15.62</v>
      </c>
      <c r="I84">
        <v>10.06</v>
      </c>
      <c r="J84">
        <v>12.43</v>
      </c>
      <c r="K84">
        <v>86.47</v>
      </c>
      <c r="L84">
        <v>0.06</v>
      </c>
      <c r="M84">
        <v>736.37</v>
      </c>
      <c r="N84">
        <v>22.92</v>
      </c>
      <c r="O84">
        <v>263.86</v>
      </c>
      <c r="P84">
        <v>0.27</v>
      </c>
    </row>
    <row r="85" spans="1:16" x14ac:dyDescent="0.35">
      <c r="A85" s="1">
        <v>40584</v>
      </c>
      <c r="B85" s="2">
        <v>0.5</v>
      </c>
      <c r="D85">
        <v>69.459999999999994</v>
      </c>
      <c r="E85">
        <v>0.1</v>
      </c>
      <c r="F85">
        <v>2.23</v>
      </c>
      <c r="G85">
        <v>6.74</v>
      </c>
      <c r="H85">
        <v>8.9700000000000006</v>
      </c>
      <c r="I85">
        <v>15.27</v>
      </c>
      <c r="J85">
        <v>7.52</v>
      </c>
      <c r="K85">
        <v>66.64</v>
      </c>
      <c r="L85">
        <v>-0.14000000000000001</v>
      </c>
      <c r="M85">
        <v>683.81</v>
      </c>
      <c r="N85">
        <v>24.13</v>
      </c>
      <c r="O85">
        <v>179.75</v>
      </c>
      <c r="P85">
        <v>0.78</v>
      </c>
    </row>
    <row r="86" spans="1:16" x14ac:dyDescent="0.35">
      <c r="A86" s="1">
        <v>40584</v>
      </c>
      <c r="B86" s="2">
        <v>0.54166666666666663</v>
      </c>
      <c r="D86">
        <v>59.87</v>
      </c>
      <c r="E86">
        <v>0.13</v>
      </c>
      <c r="F86">
        <v>2.75</v>
      </c>
      <c r="G86">
        <v>9.07</v>
      </c>
      <c r="H86">
        <v>11.81</v>
      </c>
      <c r="I86">
        <v>21.07</v>
      </c>
      <c r="J86">
        <v>11.97</v>
      </c>
      <c r="K86">
        <v>95.08</v>
      </c>
      <c r="L86">
        <v>-0.12</v>
      </c>
      <c r="M86">
        <v>588.4</v>
      </c>
      <c r="N86">
        <v>26.12</v>
      </c>
      <c r="O86">
        <v>143.38999999999999</v>
      </c>
      <c r="P86">
        <v>0.53</v>
      </c>
    </row>
    <row r="87" spans="1:16" x14ac:dyDescent="0.35">
      <c r="A87" s="1">
        <v>40584</v>
      </c>
      <c r="B87" s="2">
        <v>0.58333333333333337</v>
      </c>
      <c r="D87">
        <v>57.28</v>
      </c>
      <c r="E87">
        <v>0.16</v>
      </c>
      <c r="F87">
        <v>2.33</v>
      </c>
      <c r="G87">
        <v>9.58</v>
      </c>
      <c r="H87">
        <v>11.91</v>
      </c>
      <c r="I87">
        <v>28.16</v>
      </c>
      <c r="J87">
        <v>12.57</v>
      </c>
      <c r="K87">
        <v>41.53</v>
      </c>
      <c r="L87">
        <v>1.26</v>
      </c>
      <c r="M87">
        <v>562.27</v>
      </c>
      <c r="N87">
        <v>26.75</v>
      </c>
      <c r="O87">
        <v>125.92</v>
      </c>
      <c r="P87">
        <v>1.96</v>
      </c>
    </row>
    <row r="88" spans="1:16" x14ac:dyDescent="0.35">
      <c r="A88" s="1">
        <v>40584</v>
      </c>
      <c r="B88" s="2">
        <v>0.625</v>
      </c>
      <c r="D88">
        <v>56.49</v>
      </c>
      <c r="E88">
        <v>0.14000000000000001</v>
      </c>
      <c r="F88">
        <v>0.19</v>
      </c>
      <c r="G88">
        <v>4.95</v>
      </c>
      <c r="H88">
        <v>5.14</v>
      </c>
      <c r="I88">
        <v>33.19</v>
      </c>
      <c r="J88">
        <v>15.9</v>
      </c>
      <c r="K88">
        <v>28.51</v>
      </c>
      <c r="L88">
        <v>0.45</v>
      </c>
      <c r="M88">
        <v>554.77</v>
      </c>
      <c r="N88">
        <v>27.15</v>
      </c>
      <c r="O88">
        <v>102.97</v>
      </c>
      <c r="P88">
        <v>2.69</v>
      </c>
    </row>
    <row r="89" spans="1:16" x14ac:dyDescent="0.35">
      <c r="A89" s="1">
        <v>40584</v>
      </c>
      <c r="B89" s="2">
        <v>0.66666666666666663</v>
      </c>
      <c r="D89">
        <v>57.32</v>
      </c>
      <c r="E89">
        <v>0.15</v>
      </c>
      <c r="F89">
        <v>-0.16</v>
      </c>
      <c r="G89">
        <v>4.37</v>
      </c>
      <c r="H89">
        <v>4.21</v>
      </c>
      <c r="I89">
        <v>32.11</v>
      </c>
      <c r="J89">
        <v>13.89</v>
      </c>
      <c r="K89">
        <v>23.8</v>
      </c>
      <c r="L89">
        <v>0.03</v>
      </c>
      <c r="M89">
        <v>561.54</v>
      </c>
      <c r="N89">
        <v>26.82</v>
      </c>
      <c r="O89">
        <v>97.83</v>
      </c>
      <c r="P89">
        <v>2.87</v>
      </c>
    </row>
    <row r="90" spans="1:16" x14ac:dyDescent="0.35">
      <c r="A90" s="1">
        <v>40584</v>
      </c>
      <c r="B90" s="2">
        <v>0.70833333333333337</v>
      </c>
      <c r="D90">
        <v>56.98</v>
      </c>
      <c r="E90">
        <v>0.15</v>
      </c>
      <c r="F90">
        <v>-0.1</v>
      </c>
      <c r="G90">
        <v>4.82</v>
      </c>
      <c r="H90">
        <v>4.72</v>
      </c>
      <c r="I90">
        <v>29.91</v>
      </c>
      <c r="J90">
        <v>14.6</v>
      </c>
      <c r="K90">
        <v>27.78</v>
      </c>
      <c r="L90">
        <v>0.69</v>
      </c>
      <c r="M90">
        <v>558.08000000000004</v>
      </c>
      <c r="N90">
        <v>26.24</v>
      </c>
      <c r="O90">
        <v>78.52</v>
      </c>
      <c r="P90">
        <v>2.96</v>
      </c>
    </row>
    <row r="91" spans="1:16" x14ac:dyDescent="0.35">
      <c r="A91" s="1">
        <v>40584</v>
      </c>
      <c r="B91" s="2">
        <v>0.75</v>
      </c>
      <c r="D91">
        <v>65.62</v>
      </c>
      <c r="E91">
        <v>0.15</v>
      </c>
      <c r="F91">
        <v>-0.19</v>
      </c>
      <c r="G91">
        <v>5.09</v>
      </c>
      <c r="H91">
        <v>4.9000000000000004</v>
      </c>
      <c r="I91">
        <v>22.11</v>
      </c>
      <c r="J91">
        <v>17.37</v>
      </c>
      <c r="K91">
        <v>25.25</v>
      </c>
      <c r="L91">
        <v>0.69</v>
      </c>
      <c r="M91">
        <v>644.21</v>
      </c>
      <c r="N91">
        <v>25.01</v>
      </c>
      <c r="O91">
        <v>84.22</v>
      </c>
      <c r="P91">
        <v>2.78</v>
      </c>
    </row>
    <row r="92" spans="1:16" x14ac:dyDescent="0.35">
      <c r="A92" s="1">
        <v>40584</v>
      </c>
      <c r="B92" s="2">
        <v>0.79166666666666663</v>
      </c>
      <c r="D92">
        <v>73.27</v>
      </c>
      <c r="E92">
        <v>0.15</v>
      </c>
      <c r="F92">
        <v>-0.97</v>
      </c>
      <c r="G92">
        <v>4.01</v>
      </c>
      <c r="H92">
        <v>3.04</v>
      </c>
      <c r="I92">
        <v>15.7</v>
      </c>
      <c r="J92">
        <v>16.579999999999998</v>
      </c>
      <c r="K92">
        <v>34.15</v>
      </c>
      <c r="L92">
        <v>-0.05</v>
      </c>
      <c r="M92">
        <v>720.04</v>
      </c>
      <c r="N92">
        <v>23.82</v>
      </c>
      <c r="O92">
        <v>88.42</v>
      </c>
      <c r="P92">
        <v>2.0099999999999998</v>
      </c>
    </row>
    <row r="93" spans="1:16" x14ac:dyDescent="0.35">
      <c r="A93" s="1">
        <v>40584</v>
      </c>
      <c r="B93" s="2">
        <v>0.83333333333333337</v>
      </c>
      <c r="D93">
        <v>75.959999999999994</v>
      </c>
      <c r="E93">
        <v>0.15</v>
      </c>
      <c r="F93">
        <v>-0.85</v>
      </c>
      <c r="G93">
        <v>4.0199999999999996</v>
      </c>
      <c r="H93">
        <v>3.17</v>
      </c>
      <c r="I93">
        <v>13.55</v>
      </c>
      <c r="J93">
        <v>14</v>
      </c>
      <c r="K93">
        <v>74.34</v>
      </c>
      <c r="L93">
        <v>-0.13</v>
      </c>
      <c r="M93">
        <v>747.03</v>
      </c>
      <c r="N93">
        <v>23.08</v>
      </c>
      <c r="O93">
        <v>66.72</v>
      </c>
      <c r="P93">
        <v>0.73</v>
      </c>
    </row>
    <row r="94" spans="1:16" x14ac:dyDescent="0.35">
      <c r="A94" s="1">
        <v>40584</v>
      </c>
      <c r="B94" s="2">
        <v>0.875</v>
      </c>
      <c r="D94">
        <v>76.34</v>
      </c>
      <c r="E94">
        <v>0.16</v>
      </c>
      <c r="F94">
        <v>-0.98</v>
      </c>
      <c r="G94">
        <v>5.47</v>
      </c>
      <c r="H94">
        <v>4.49</v>
      </c>
      <c r="I94">
        <v>11.11</v>
      </c>
      <c r="J94">
        <v>16.12</v>
      </c>
      <c r="K94">
        <v>89.67</v>
      </c>
      <c r="L94">
        <v>-0.12</v>
      </c>
      <c r="M94">
        <v>750.89</v>
      </c>
      <c r="N94">
        <v>22.83</v>
      </c>
      <c r="O94">
        <v>35.97</v>
      </c>
      <c r="P94">
        <v>0.27</v>
      </c>
    </row>
    <row r="95" spans="1:16" x14ac:dyDescent="0.35">
      <c r="A95" s="1">
        <v>40584</v>
      </c>
      <c r="B95" s="2">
        <v>0.91666666666666663</v>
      </c>
      <c r="D95">
        <v>77.709999999999994</v>
      </c>
      <c r="E95">
        <v>0.14000000000000001</v>
      </c>
      <c r="F95">
        <v>-0.83</v>
      </c>
      <c r="G95">
        <v>5.94</v>
      </c>
      <c r="H95">
        <v>5.1100000000000003</v>
      </c>
      <c r="I95">
        <v>9.26</v>
      </c>
      <c r="J95">
        <v>13.62</v>
      </c>
      <c r="K95">
        <v>65.81</v>
      </c>
      <c r="L95">
        <v>-0.11</v>
      </c>
      <c r="M95">
        <v>764.37</v>
      </c>
      <c r="N95">
        <v>22.28</v>
      </c>
      <c r="O95">
        <v>304.62</v>
      </c>
      <c r="P95">
        <v>0.31</v>
      </c>
    </row>
    <row r="96" spans="1:16" x14ac:dyDescent="0.35">
      <c r="A96" s="1">
        <v>40584</v>
      </c>
      <c r="B96" s="2">
        <v>0.95833333333333337</v>
      </c>
      <c r="D96">
        <v>82.28</v>
      </c>
      <c r="E96">
        <v>0.14000000000000001</v>
      </c>
      <c r="F96">
        <v>-0.7</v>
      </c>
      <c r="G96">
        <v>7.25</v>
      </c>
      <c r="H96">
        <v>6.55</v>
      </c>
      <c r="I96">
        <v>6.75</v>
      </c>
      <c r="J96">
        <v>10.8</v>
      </c>
      <c r="K96">
        <v>71.67</v>
      </c>
      <c r="L96">
        <v>-0.16</v>
      </c>
      <c r="M96">
        <v>810.05</v>
      </c>
      <c r="N96">
        <v>21.21</v>
      </c>
      <c r="O96">
        <v>341.08</v>
      </c>
      <c r="P96">
        <v>0.21</v>
      </c>
    </row>
    <row r="97" spans="1:16" x14ac:dyDescent="0.35">
      <c r="A97" s="1">
        <v>40584</v>
      </c>
      <c r="B97" s="18">
        <v>0</v>
      </c>
      <c r="D97">
        <v>85.6</v>
      </c>
      <c r="E97">
        <v>0.14000000000000001</v>
      </c>
      <c r="F97">
        <v>4.2300000000000004</v>
      </c>
      <c r="G97">
        <v>11.8</v>
      </c>
      <c r="H97">
        <v>16.03</v>
      </c>
      <c r="I97">
        <v>0.56999999999999995</v>
      </c>
      <c r="J97">
        <v>12.72</v>
      </c>
      <c r="K97">
        <v>41.45</v>
      </c>
      <c r="L97">
        <v>-0.1</v>
      </c>
      <c r="M97">
        <v>843.29</v>
      </c>
      <c r="N97">
        <v>20.56</v>
      </c>
      <c r="O97">
        <v>350.02</v>
      </c>
      <c r="P97">
        <v>0.28000000000000003</v>
      </c>
    </row>
    <row r="98" spans="1:16" x14ac:dyDescent="0.35">
      <c r="A98" s="1">
        <v>40585</v>
      </c>
      <c r="B98" s="2">
        <v>4.1666666666666664E-2</v>
      </c>
      <c r="D98">
        <v>88.95</v>
      </c>
      <c r="E98">
        <v>0.16</v>
      </c>
      <c r="F98">
        <v>8.16</v>
      </c>
      <c r="G98">
        <v>10.59</v>
      </c>
      <c r="H98">
        <v>18.760000000000002</v>
      </c>
      <c r="I98">
        <v>0.08</v>
      </c>
      <c r="J98">
        <v>15.96</v>
      </c>
      <c r="K98">
        <v>55.21</v>
      </c>
      <c r="L98">
        <v>0.26</v>
      </c>
      <c r="M98">
        <v>876.85</v>
      </c>
      <c r="N98">
        <v>19.77</v>
      </c>
      <c r="O98">
        <v>11.92</v>
      </c>
      <c r="P98">
        <v>0.2</v>
      </c>
    </row>
    <row r="99" spans="1:16" x14ac:dyDescent="0.35">
      <c r="A99" s="1">
        <v>40585</v>
      </c>
      <c r="B99" s="2">
        <v>8.3333333333333329E-2</v>
      </c>
      <c r="D99">
        <v>90.88</v>
      </c>
      <c r="E99">
        <v>0.15</v>
      </c>
      <c r="F99">
        <v>10.119999999999999</v>
      </c>
      <c r="G99">
        <v>8.9700000000000006</v>
      </c>
      <c r="H99">
        <v>19.09</v>
      </c>
      <c r="I99">
        <v>0.14000000000000001</v>
      </c>
      <c r="J99">
        <v>9.91</v>
      </c>
      <c r="K99">
        <v>65.37</v>
      </c>
      <c r="L99">
        <v>0.48</v>
      </c>
      <c r="M99">
        <v>896.15</v>
      </c>
      <c r="N99">
        <v>19.21</v>
      </c>
      <c r="O99">
        <v>344.83</v>
      </c>
      <c r="P99">
        <v>0.18</v>
      </c>
    </row>
    <row r="100" spans="1:16" x14ac:dyDescent="0.35">
      <c r="A100" s="1">
        <v>40585</v>
      </c>
      <c r="B100" s="2">
        <v>0.125</v>
      </c>
      <c r="D100">
        <v>93.41</v>
      </c>
      <c r="E100">
        <v>0.13</v>
      </c>
      <c r="F100">
        <v>11.04</v>
      </c>
      <c r="G100">
        <v>7.92</v>
      </c>
      <c r="H100">
        <v>18.96</v>
      </c>
      <c r="I100">
        <v>0.13</v>
      </c>
      <c r="J100">
        <v>5.9</v>
      </c>
      <c r="K100">
        <v>56.3</v>
      </c>
      <c r="L100">
        <v>0.47</v>
      </c>
      <c r="M100">
        <v>921.3</v>
      </c>
      <c r="N100">
        <v>18.7</v>
      </c>
      <c r="O100">
        <v>215.94</v>
      </c>
      <c r="P100">
        <v>0.2</v>
      </c>
    </row>
    <row r="101" spans="1:16" x14ac:dyDescent="0.35">
      <c r="A101" s="1">
        <v>40585</v>
      </c>
      <c r="B101" s="2">
        <v>0.16666666666666666</v>
      </c>
      <c r="D101">
        <v>94.59</v>
      </c>
      <c r="E101">
        <v>0.13</v>
      </c>
      <c r="F101">
        <v>13.1</v>
      </c>
      <c r="G101">
        <v>8.23</v>
      </c>
      <c r="H101">
        <v>21.34</v>
      </c>
      <c r="I101">
        <v>0.13</v>
      </c>
      <c r="J101">
        <v>9.14</v>
      </c>
      <c r="K101">
        <v>82.44</v>
      </c>
      <c r="L101">
        <v>0.84</v>
      </c>
      <c r="M101">
        <v>933.15</v>
      </c>
      <c r="N101">
        <v>18.37</v>
      </c>
      <c r="O101">
        <v>297.92</v>
      </c>
      <c r="P101">
        <v>0.12</v>
      </c>
    </row>
    <row r="102" spans="1:16" x14ac:dyDescent="0.35">
      <c r="A102" s="1">
        <v>40585</v>
      </c>
      <c r="B102" s="2">
        <v>0.20833333333333334</v>
      </c>
      <c r="D102">
        <v>94.75</v>
      </c>
      <c r="E102">
        <v>0.13</v>
      </c>
      <c r="F102">
        <v>20.96</v>
      </c>
      <c r="G102">
        <v>8.6199999999999992</v>
      </c>
      <c r="H102">
        <v>29.58</v>
      </c>
      <c r="I102">
        <v>0.1</v>
      </c>
      <c r="J102">
        <v>10.09</v>
      </c>
      <c r="K102">
        <v>46.42</v>
      </c>
      <c r="L102">
        <v>1.07</v>
      </c>
      <c r="M102">
        <v>934.8</v>
      </c>
      <c r="N102">
        <v>18.36</v>
      </c>
      <c r="O102">
        <v>220.1</v>
      </c>
      <c r="P102">
        <v>0.24</v>
      </c>
    </row>
    <row r="103" spans="1:16" x14ac:dyDescent="0.35">
      <c r="A103" s="1">
        <v>40585</v>
      </c>
      <c r="B103" s="2">
        <v>0.25</v>
      </c>
      <c r="D103">
        <v>94.83</v>
      </c>
      <c r="E103">
        <v>0.17</v>
      </c>
      <c r="F103">
        <v>35.799999999999997</v>
      </c>
      <c r="G103">
        <v>9.35</v>
      </c>
      <c r="H103">
        <v>45.16</v>
      </c>
      <c r="I103">
        <v>0.14000000000000001</v>
      </c>
      <c r="J103">
        <v>20.89</v>
      </c>
      <c r="K103">
        <v>80.06</v>
      </c>
      <c r="L103">
        <v>1.1599999999999999</v>
      </c>
      <c r="M103">
        <v>935.56</v>
      </c>
      <c r="N103">
        <v>18.48</v>
      </c>
      <c r="O103">
        <v>262.70999999999998</v>
      </c>
      <c r="P103">
        <v>0.11</v>
      </c>
    </row>
    <row r="104" spans="1:16" x14ac:dyDescent="0.35">
      <c r="A104" s="1">
        <v>40585</v>
      </c>
      <c r="B104" s="2">
        <v>0.29166666666666669</v>
      </c>
      <c r="D104">
        <v>88.52</v>
      </c>
      <c r="E104">
        <v>0.25</v>
      </c>
      <c r="F104">
        <v>64.900000000000006</v>
      </c>
      <c r="G104">
        <v>14.08</v>
      </c>
      <c r="H104">
        <v>78.98</v>
      </c>
      <c r="I104">
        <v>0.41</v>
      </c>
      <c r="J104">
        <v>27.36</v>
      </c>
      <c r="K104">
        <v>91.99</v>
      </c>
      <c r="L104">
        <v>1.99</v>
      </c>
      <c r="M104">
        <v>873.29</v>
      </c>
      <c r="N104">
        <v>19.850000000000001</v>
      </c>
      <c r="O104">
        <v>310.57</v>
      </c>
      <c r="P104">
        <v>7.0000000000000007E-2</v>
      </c>
    </row>
    <row r="105" spans="1:16" x14ac:dyDescent="0.35">
      <c r="A105" s="1">
        <v>40585</v>
      </c>
      <c r="B105" s="2">
        <v>0.33333333333333331</v>
      </c>
      <c r="D105">
        <v>66.459999999999994</v>
      </c>
      <c r="E105">
        <v>0.18</v>
      </c>
      <c r="F105">
        <v>23.44</v>
      </c>
      <c r="G105">
        <v>12.09</v>
      </c>
      <c r="H105">
        <v>35.53</v>
      </c>
      <c r="I105">
        <v>3.81</v>
      </c>
      <c r="J105">
        <v>27.02</v>
      </c>
      <c r="K105">
        <v>71.12</v>
      </c>
      <c r="L105">
        <v>1.77</v>
      </c>
      <c r="M105">
        <v>653.24</v>
      </c>
      <c r="N105">
        <v>24.58</v>
      </c>
      <c r="O105">
        <v>345.43</v>
      </c>
      <c r="P105">
        <v>0.71</v>
      </c>
    </row>
    <row r="106" spans="1:16" x14ac:dyDescent="0.35">
      <c r="A106" s="1">
        <v>40585</v>
      </c>
      <c r="B106" s="2">
        <v>0.375</v>
      </c>
      <c r="D106">
        <v>55.19</v>
      </c>
      <c r="E106">
        <v>0.19</v>
      </c>
      <c r="F106">
        <v>3.58</v>
      </c>
      <c r="G106">
        <v>7.61</v>
      </c>
      <c r="H106">
        <v>11.19</v>
      </c>
      <c r="I106">
        <v>15.28</v>
      </c>
      <c r="J106">
        <v>32.14</v>
      </c>
      <c r="K106">
        <v>24.69</v>
      </c>
      <c r="L106">
        <v>0.88</v>
      </c>
      <c r="M106">
        <v>541.74</v>
      </c>
      <c r="N106">
        <v>26.79</v>
      </c>
      <c r="O106">
        <v>333.12</v>
      </c>
      <c r="P106">
        <v>1.99</v>
      </c>
    </row>
    <row r="107" spans="1:16" x14ac:dyDescent="0.35">
      <c r="A107" s="1">
        <v>40585</v>
      </c>
      <c r="B107" s="2">
        <v>0.41666666666666669</v>
      </c>
      <c r="D107">
        <v>40.619999999999997</v>
      </c>
      <c r="E107">
        <v>0.18</v>
      </c>
      <c r="F107">
        <v>0</v>
      </c>
      <c r="G107">
        <v>5.0599999999999996</v>
      </c>
      <c r="H107">
        <v>5.0599999999999996</v>
      </c>
      <c r="I107">
        <v>30.68</v>
      </c>
      <c r="J107">
        <v>20.85</v>
      </c>
      <c r="K107">
        <v>27.89</v>
      </c>
      <c r="L107">
        <v>0.63</v>
      </c>
      <c r="M107">
        <v>396.99</v>
      </c>
      <c r="N107">
        <v>29.81</v>
      </c>
      <c r="O107">
        <v>325.52999999999997</v>
      </c>
      <c r="P107">
        <v>2.4500000000000002</v>
      </c>
    </row>
    <row r="108" spans="1:16" x14ac:dyDescent="0.35">
      <c r="A108" s="1">
        <v>40585</v>
      </c>
      <c r="B108" s="2">
        <v>0.45833333333333331</v>
      </c>
      <c r="D108">
        <v>34.35</v>
      </c>
      <c r="E108">
        <v>0.18</v>
      </c>
      <c r="F108">
        <v>-0.69</v>
      </c>
      <c r="G108">
        <v>4.62</v>
      </c>
      <c r="H108">
        <v>3.94</v>
      </c>
      <c r="I108">
        <v>39.14</v>
      </c>
      <c r="J108">
        <v>19.059999999999999</v>
      </c>
      <c r="K108">
        <v>50.33</v>
      </c>
      <c r="L108">
        <v>1.62</v>
      </c>
      <c r="M108">
        <v>334.87</v>
      </c>
      <c r="N108">
        <v>32.07</v>
      </c>
      <c r="O108">
        <v>330.31</v>
      </c>
      <c r="P108">
        <v>1.59</v>
      </c>
    </row>
    <row r="109" spans="1:16" x14ac:dyDescent="0.35">
      <c r="A109" s="1">
        <v>40585</v>
      </c>
      <c r="B109" s="2">
        <v>0.5</v>
      </c>
      <c r="D109">
        <v>32.090000000000003</v>
      </c>
      <c r="E109">
        <v>0.19</v>
      </c>
      <c r="F109">
        <v>-0.88</v>
      </c>
      <c r="G109">
        <v>4.62</v>
      </c>
      <c r="H109">
        <v>3.74</v>
      </c>
      <c r="I109">
        <v>49.02</v>
      </c>
      <c r="J109">
        <v>19.87</v>
      </c>
      <c r="K109">
        <v>52.3</v>
      </c>
      <c r="L109">
        <v>1.55</v>
      </c>
      <c r="M109">
        <v>311.74</v>
      </c>
      <c r="N109">
        <v>33.1</v>
      </c>
      <c r="O109">
        <v>308.27999999999997</v>
      </c>
      <c r="P109">
        <v>1.29</v>
      </c>
    </row>
    <row r="110" spans="1:16" x14ac:dyDescent="0.35">
      <c r="A110" s="1">
        <v>40585</v>
      </c>
      <c r="B110" s="2">
        <v>0.54166666666666663</v>
      </c>
      <c r="D110">
        <v>30.77</v>
      </c>
      <c r="E110">
        <v>0.18</v>
      </c>
      <c r="F110">
        <v>-0.88</v>
      </c>
      <c r="G110">
        <v>4.54</v>
      </c>
      <c r="H110">
        <v>3.66</v>
      </c>
      <c r="I110">
        <v>51.06</v>
      </c>
      <c r="J110">
        <v>17.61</v>
      </c>
      <c r="K110">
        <v>36.58</v>
      </c>
      <c r="L110">
        <v>0.96</v>
      </c>
      <c r="M110">
        <v>297.86</v>
      </c>
      <c r="N110">
        <v>33.83</v>
      </c>
      <c r="O110">
        <v>312</v>
      </c>
      <c r="P110">
        <v>1.35</v>
      </c>
    </row>
    <row r="111" spans="1:16" x14ac:dyDescent="0.35">
      <c r="A111" s="1">
        <v>40585</v>
      </c>
      <c r="B111" s="2">
        <v>0.58333333333333337</v>
      </c>
      <c r="D111">
        <v>28.4</v>
      </c>
      <c r="E111">
        <v>0.17</v>
      </c>
      <c r="F111">
        <v>-0.59</v>
      </c>
      <c r="G111">
        <v>4.62</v>
      </c>
      <c r="H111">
        <v>4.03</v>
      </c>
      <c r="I111">
        <v>53.3</v>
      </c>
      <c r="J111">
        <v>18.68</v>
      </c>
      <c r="K111">
        <v>53.85</v>
      </c>
      <c r="L111">
        <v>0.9</v>
      </c>
      <c r="M111">
        <v>274.11</v>
      </c>
      <c r="N111">
        <v>35.299999999999997</v>
      </c>
      <c r="O111">
        <v>308.76</v>
      </c>
      <c r="P111">
        <v>1.41</v>
      </c>
    </row>
    <row r="112" spans="1:16" x14ac:dyDescent="0.35">
      <c r="A112" s="1">
        <v>40585</v>
      </c>
      <c r="B112" s="2">
        <v>0.625</v>
      </c>
      <c r="D112">
        <v>26.44</v>
      </c>
      <c r="E112">
        <v>0.17</v>
      </c>
      <c r="F112">
        <v>-0.4</v>
      </c>
      <c r="G112">
        <v>5.29</v>
      </c>
      <c r="H112">
        <v>4.8899999999999997</v>
      </c>
      <c r="I112">
        <v>49.05</v>
      </c>
      <c r="J112">
        <v>21.28</v>
      </c>
      <c r="K112">
        <v>53.28</v>
      </c>
      <c r="L112">
        <v>0.44</v>
      </c>
      <c r="M112">
        <v>255.89</v>
      </c>
      <c r="N112">
        <v>36.72</v>
      </c>
      <c r="O112">
        <v>295.91000000000003</v>
      </c>
      <c r="P112">
        <v>1.25</v>
      </c>
    </row>
    <row r="113" spans="1:16" x14ac:dyDescent="0.35">
      <c r="A113" s="1">
        <v>40585</v>
      </c>
      <c r="B113" s="2">
        <v>0.66666666666666663</v>
      </c>
      <c r="D113">
        <v>27.18</v>
      </c>
      <c r="E113">
        <v>0.17</v>
      </c>
      <c r="F113">
        <v>-0.56000000000000005</v>
      </c>
      <c r="G113">
        <v>4.45</v>
      </c>
      <c r="H113">
        <v>3.89</v>
      </c>
      <c r="I113">
        <v>51.92</v>
      </c>
      <c r="J113">
        <v>23.22</v>
      </c>
      <c r="K113">
        <v>55.96</v>
      </c>
      <c r="L113">
        <v>0.37</v>
      </c>
      <c r="M113">
        <v>262.61</v>
      </c>
      <c r="N113">
        <v>36.229999999999997</v>
      </c>
      <c r="O113">
        <v>313.45999999999998</v>
      </c>
      <c r="P113">
        <v>1.29</v>
      </c>
    </row>
    <row r="114" spans="1:16" x14ac:dyDescent="0.35">
      <c r="A114" s="1">
        <v>40585</v>
      </c>
      <c r="B114" s="2">
        <v>0.70833333333333337</v>
      </c>
      <c r="D114">
        <v>46.77</v>
      </c>
      <c r="E114">
        <v>0.27</v>
      </c>
      <c r="F114">
        <v>-0.77</v>
      </c>
      <c r="G114">
        <v>17.78</v>
      </c>
      <c r="H114">
        <v>17.010000000000002</v>
      </c>
      <c r="I114">
        <v>43.76</v>
      </c>
      <c r="J114">
        <v>51.96</v>
      </c>
      <c r="K114">
        <v>49.43</v>
      </c>
      <c r="L114">
        <v>2.5099999999999998</v>
      </c>
      <c r="M114">
        <v>456.48</v>
      </c>
      <c r="N114">
        <v>30.94</v>
      </c>
      <c r="O114">
        <v>148.97</v>
      </c>
      <c r="P114">
        <v>2.4500000000000002</v>
      </c>
    </row>
    <row r="115" spans="1:16" x14ac:dyDescent="0.35">
      <c r="A115" s="1">
        <v>40585</v>
      </c>
      <c r="B115" s="2">
        <v>0.75</v>
      </c>
      <c r="D115">
        <v>60.15</v>
      </c>
      <c r="E115">
        <v>0.26</v>
      </c>
      <c r="F115">
        <v>0.16</v>
      </c>
      <c r="G115">
        <v>19.14</v>
      </c>
      <c r="H115">
        <v>19.3</v>
      </c>
      <c r="I115">
        <v>28.89</v>
      </c>
      <c r="J115">
        <v>35.82</v>
      </c>
      <c r="K115">
        <v>20.34</v>
      </c>
      <c r="L115">
        <v>3.55</v>
      </c>
      <c r="M115">
        <v>590.27</v>
      </c>
      <c r="N115">
        <v>27.61</v>
      </c>
      <c r="O115">
        <v>129.58000000000001</v>
      </c>
      <c r="P115">
        <v>2.31</v>
      </c>
    </row>
    <row r="116" spans="1:16" x14ac:dyDescent="0.35">
      <c r="A116" s="1">
        <v>40585</v>
      </c>
      <c r="B116" s="2">
        <v>0.79166666666666663</v>
      </c>
      <c r="D116">
        <v>56.23</v>
      </c>
      <c r="E116">
        <v>0.56999999999999995</v>
      </c>
      <c r="F116">
        <v>-0.3</v>
      </c>
      <c r="G116">
        <v>16.91</v>
      </c>
      <c r="H116">
        <v>16.600000000000001</v>
      </c>
      <c r="I116">
        <v>30.39</v>
      </c>
      <c r="J116">
        <v>37.99</v>
      </c>
      <c r="K116">
        <v>18.39</v>
      </c>
      <c r="L116">
        <v>1.86</v>
      </c>
      <c r="M116">
        <v>550.89</v>
      </c>
      <c r="N116">
        <v>28.37</v>
      </c>
      <c r="O116">
        <v>116.48</v>
      </c>
      <c r="P116">
        <v>1.71</v>
      </c>
    </row>
    <row r="117" spans="1:16" x14ac:dyDescent="0.35">
      <c r="A117" s="1">
        <v>40585</v>
      </c>
      <c r="B117" s="2">
        <v>0.83333333333333337</v>
      </c>
      <c r="D117">
        <v>54.51</v>
      </c>
      <c r="E117">
        <v>0.53</v>
      </c>
      <c r="F117">
        <v>-0.7</v>
      </c>
      <c r="G117">
        <v>14.72</v>
      </c>
      <c r="H117">
        <v>14.02</v>
      </c>
      <c r="I117">
        <v>33.299999999999997</v>
      </c>
      <c r="J117">
        <v>42.73</v>
      </c>
      <c r="K117">
        <v>95.87</v>
      </c>
      <c r="L117">
        <v>2.4</v>
      </c>
      <c r="M117">
        <v>533.11</v>
      </c>
      <c r="N117">
        <v>28.31</v>
      </c>
      <c r="O117">
        <v>115.55</v>
      </c>
      <c r="P117">
        <v>0.41</v>
      </c>
    </row>
    <row r="118" spans="1:16" x14ac:dyDescent="0.35">
      <c r="A118" s="1">
        <v>40585</v>
      </c>
      <c r="B118" s="2">
        <v>0.875</v>
      </c>
      <c r="D118">
        <v>51.16</v>
      </c>
      <c r="E118">
        <v>0.24</v>
      </c>
      <c r="F118">
        <v>-0.84</v>
      </c>
      <c r="G118">
        <v>18.440000000000001</v>
      </c>
      <c r="H118">
        <v>17.600000000000001</v>
      </c>
      <c r="I118">
        <v>28.09</v>
      </c>
      <c r="J118">
        <v>21.06</v>
      </c>
      <c r="K118">
        <v>68.47</v>
      </c>
      <c r="L118">
        <v>7.48</v>
      </c>
      <c r="M118">
        <v>499.66</v>
      </c>
      <c r="N118">
        <v>28.71</v>
      </c>
      <c r="O118">
        <v>355.23</v>
      </c>
      <c r="P118">
        <v>0.47</v>
      </c>
    </row>
    <row r="119" spans="1:16" x14ac:dyDescent="0.35">
      <c r="A119" s="1">
        <v>40585</v>
      </c>
      <c r="B119" s="2">
        <v>0.91666666666666663</v>
      </c>
      <c r="D119">
        <v>57.22</v>
      </c>
      <c r="E119">
        <v>0.38</v>
      </c>
      <c r="F119">
        <v>-0.88</v>
      </c>
      <c r="G119">
        <v>26.15</v>
      </c>
      <c r="H119">
        <v>25.27</v>
      </c>
      <c r="I119">
        <v>15.44</v>
      </c>
      <c r="J119">
        <v>29.91</v>
      </c>
      <c r="K119">
        <v>62.39</v>
      </c>
      <c r="L119">
        <v>6.74</v>
      </c>
      <c r="M119">
        <v>560.15</v>
      </c>
      <c r="N119">
        <v>28</v>
      </c>
      <c r="O119">
        <v>247.81</v>
      </c>
      <c r="P119">
        <v>0.34</v>
      </c>
    </row>
    <row r="120" spans="1:16" x14ac:dyDescent="0.35">
      <c r="A120" s="1">
        <v>40585</v>
      </c>
      <c r="B120" s="2">
        <v>0.95833333333333337</v>
      </c>
      <c r="D120">
        <v>60.33</v>
      </c>
      <c r="E120">
        <v>0.5</v>
      </c>
      <c r="F120">
        <v>-0.59</v>
      </c>
      <c r="G120">
        <v>18.02</v>
      </c>
      <c r="H120">
        <v>17.43</v>
      </c>
      <c r="I120">
        <v>18.03</v>
      </c>
      <c r="J120">
        <v>39.53</v>
      </c>
      <c r="K120">
        <v>36.4</v>
      </c>
      <c r="L120">
        <v>2.95</v>
      </c>
      <c r="M120">
        <v>591.19000000000005</v>
      </c>
      <c r="N120">
        <v>27.19</v>
      </c>
      <c r="O120">
        <v>211.09</v>
      </c>
      <c r="P120">
        <v>1.95</v>
      </c>
    </row>
    <row r="121" spans="1:16" x14ac:dyDescent="0.35">
      <c r="A121" s="1">
        <v>40585</v>
      </c>
      <c r="B121" s="18">
        <v>0</v>
      </c>
      <c r="D121">
        <v>69.63</v>
      </c>
      <c r="E121">
        <v>0.28000000000000003</v>
      </c>
      <c r="F121">
        <v>-1.02</v>
      </c>
      <c r="G121">
        <v>6.93</v>
      </c>
      <c r="H121">
        <v>5.91</v>
      </c>
      <c r="I121">
        <v>36.840000000000003</v>
      </c>
      <c r="J121">
        <v>17.920000000000002</v>
      </c>
      <c r="K121">
        <v>36.409999999999997</v>
      </c>
      <c r="L121">
        <v>0.72</v>
      </c>
      <c r="M121">
        <v>683.99</v>
      </c>
      <c r="N121">
        <v>25.89</v>
      </c>
      <c r="O121">
        <v>186.34</v>
      </c>
      <c r="P121">
        <v>1.08</v>
      </c>
    </row>
    <row r="122" spans="1:16" x14ac:dyDescent="0.35">
      <c r="A122" s="1">
        <v>40586</v>
      </c>
      <c r="B122" s="2">
        <v>4.1666666666666664E-2</v>
      </c>
      <c r="D122">
        <v>74.650000000000006</v>
      </c>
      <c r="E122">
        <v>0.33</v>
      </c>
      <c r="F122">
        <v>-1.21</v>
      </c>
      <c r="G122">
        <v>8.83</v>
      </c>
      <c r="H122">
        <v>7.62</v>
      </c>
      <c r="I122">
        <v>35.01</v>
      </c>
      <c r="J122">
        <v>15.22</v>
      </c>
      <c r="K122">
        <v>49.36</v>
      </c>
      <c r="L122">
        <v>2.29</v>
      </c>
      <c r="M122">
        <v>734.1</v>
      </c>
      <c r="N122">
        <v>25.03</v>
      </c>
      <c r="O122">
        <v>139.66999999999999</v>
      </c>
      <c r="P122">
        <v>0.7</v>
      </c>
    </row>
    <row r="123" spans="1:16" x14ac:dyDescent="0.35">
      <c r="A123" s="1">
        <v>40586</v>
      </c>
      <c r="B123" s="2">
        <v>8.3333333333333329E-2</v>
      </c>
      <c r="D123">
        <v>82.56</v>
      </c>
      <c r="E123">
        <v>0.43</v>
      </c>
      <c r="F123">
        <v>-1.2</v>
      </c>
      <c r="G123">
        <v>9.8000000000000007</v>
      </c>
      <c r="H123">
        <v>8.6</v>
      </c>
      <c r="I123">
        <v>25.28</v>
      </c>
      <c r="J123">
        <v>25.14</v>
      </c>
      <c r="K123">
        <v>21.34</v>
      </c>
      <c r="L123">
        <v>1.71</v>
      </c>
      <c r="M123">
        <v>812.77</v>
      </c>
      <c r="N123">
        <v>24</v>
      </c>
      <c r="O123">
        <v>106.18</v>
      </c>
      <c r="P123">
        <v>1.22</v>
      </c>
    </row>
    <row r="124" spans="1:16" x14ac:dyDescent="0.35">
      <c r="A124" s="1">
        <v>40586</v>
      </c>
      <c r="B124" s="2">
        <v>0.125</v>
      </c>
      <c r="D124">
        <v>83.53</v>
      </c>
      <c r="E124">
        <v>0.4</v>
      </c>
      <c r="F124">
        <v>-1.21</v>
      </c>
      <c r="G124">
        <v>8.2200000000000006</v>
      </c>
      <c r="H124">
        <v>7.01</v>
      </c>
      <c r="I124">
        <v>26.06</v>
      </c>
      <c r="J124">
        <v>22.92</v>
      </c>
      <c r="K124">
        <v>81.28</v>
      </c>
      <c r="L124">
        <v>1.67</v>
      </c>
      <c r="M124">
        <v>822.63</v>
      </c>
      <c r="N124">
        <v>23.56</v>
      </c>
      <c r="O124">
        <v>75.05</v>
      </c>
      <c r="P124">
        <v>0.28000000000000003</v>
      </c>
    </row>
    <row r="125" spans="1:16" x14ac:dyDescent="0.35">
      <c r="A125" s="1">
        <v>40586</v>
      </c>
      <c r="B125" s="2">
        <v>0.16666666666666666</v>
      </c>
      <c r="D125">
        <v>85.08</v>
      </c>
      <c r="E125">
        <v>0.42</v>
      </c>
      <c r="F125">
        <v>-1.01</v>
      </c>
      <c r="G125">
        <v>9.74</v>
      </c>
      <c r="H125">
        <v>8.73</v>
      </c>
      <c r="I125">
        <v>17.89</v>
      </c>
      <c r="J125">
        <v>25.2</v>
      </c>
      <c r="K125">
        <v>77.41</v>
      </c>
      <c r="L125">
        <v>1.03</v>
      </c>
      <c r="M125">
        <v>838.08</v>
      </c>
      <c r="N125">
        <v>23.42</v>
      </c>
      <c r="O125">
        <v>183.34</v>
      </c>
      <c r="P125">
        <v>0.26</v>
      </c>
    </row>
    <row r="126" spans="1:16" x14ac:dyDescent="0.35">
      <c r="A126" s="1">
        <v>40586</v>
      </c>
      <c r="B126" s="2">
        <v>0.20833333333333334</v>
      </c>
      <c r="D126">
        <v>84.6</v>
      </c>
      <c r="E126">
        <v>0.46</v>
      </c>
      <c r="F126">
        <v>-1.2</v>
      </c>
      <c r="G126">
        <v>14.72</v>
      </c>
      <c r="H126">
        <v>13.52</v>
      </c>
      <c r="I126">
        <v>12.53</v>
      </c>
      <c r="J126">
        <v>26.92</v>
      </c>
      <c r="K126">
        <v>46.16</v>
      </c>
      <c r="L126">
        <v>1.1499999999999999</v>
      </c>
      <c r="M126">
        <v>833.4</v>
      </c>
      <c r="N126">
        <v>23.59</v>
      </c>
      <c r="O126">
        <v>182.37</v>
      </c>
      <c r="P126">
        <v>0.68</v>
      </c>
    </row>
    <row r="127" spans="1:16" x14ac:dyDescent="0.35">
      <c r="A127" s="1">
        <v>40586</v>
      </c>
      <c r="B127" s="2">
        <v>0.25</v>
      </c>
      <c r="D127">
        <v>89.93</v>
      </c>
      <c r="E127">
        <v>0.62</v>
      </c>
      <c r="F127">
        <v>-0.72</v>
      </c>
      <c r="G127">
        <v>20.149999999999999</v>
      </c>
      <c r="H127">
        <v>19.43</v>
      </c>
      <c r="I127">
        <v>5.77</v>
      </c>
      <c r="J127">
        <v>33.200000000000003</v>
      </c>
      <c r="K127">
        <v>59.63</v>
      </c>
      <c r="L127">
        <v>1.1599999999999999</v>
      </c>
      <c r="M127">
        <v>886.34</v>
      </c>
      <c r="N127">
        <v>23.33</v>
      </c>
      <c r="O127">
        <v>195.51</v>
      </c>
      <c r="P127">
        <v>0.64</v>
      </c>
    </row>
    <row r="128" spans="1:16" x14ac:dyDescent="0.35">
      <c r="A128" s="1">
        <v>40586</v>
      </c>
      <c r="B128" s="2">
        <v>0.29166666666666669</v>
      </c>
      <c r="D128">
        <v>92.81</v>
      </c>
      <c r="E128">
        <v>0.67</v>
      </c>
      <c r="F128">
        <v>0.27</v>
      </c>
      <c r="G128">
        <v>18.53</v>
      </c>
      <c r="H128">
        <v>18.79</v>
      </c>
      <c r="I128">
        <v>5.12</v>
      </c>
      <c r="J128">
        <v>25.11</v>
      </c>
      <c r="K128">
        <v>78.39</v>
      </c>
      <c r="L128">
        <v>0.56999999999999995</v>
      </c>
      <c r="M128">
        <v>915.54</v>
      </c>
      <c r="N128">
        <v>23.09</v>
      </c>
      <c r="O128">
        <v>183.2</v>
      </c>
      <c r="P128">
        <v>0.34</v>
      </c>
    </row>
    <row r="129" spans="1:16" x14ac:dyDescent="0.35">
      <c r="A129" s="1">
        <v>40586</v>
      </c>
      <c r="B129" s="2">
        <v>0.33333333333333331</v>
      </c>
      <c r="D129">
        <v>86.39</v>
      </c>
      <c r="E129">
        <v>0.27</v>
      </c>
      <c r="F129">
        <v>0.95</v>
      </c>
      <c r="G129">
        <v>11.01</v>
      </c>
      <c r="H129">
        <v>11.95</v>
      </c>
      <c r="I129">
        <v>11.79</v>
      </c>
      <c r="J129">
        <v>13.74</v>
      </c>
      <c r="K129">
        <v>31.93</v>
      </c>
      <c r="L129">
        <v>0.36</v>
      </c>
      <c r="M129">
        <v>851.72</v>
      </c>
      <c r="N129">
        <v>23.57</v>
      </c>
      <c r="O129">
        <v>172.54</v>
      </c>
      <c r="P129">
        <v>1.63</v>
      </c>
    </row>
    <row r="130" spans="1:16" x14ac:dyDescent="0.35">
      <c r="A130" s="1">
        <v>40586</v>
      </c>
      <c r="B130" s="2">
        <v>0.375</v>
      </c>
      <c r="D130">
        <v>81.47</v>
      </c>
      <c r="E130">
        <v>0.12</v>
      </c>
      <c r="F130">
        <v>-0.44</v>
      </c>
      <c r="G130">
        <v>5.49</v>
      </c>
      <c r="H130">
        <v>5.05</v>
      </c>
      <c r="I130">
        <v>22.01</v>
      </c>
      <c r="J130">
        <v>6.28</v>
      </c>
      <c r="K130">
        <v>29.23</v>
      </c>
      <c r="L130">
        <v>0.27</v>
      </c>
      <c r="M130">
        <v>802.79</v>
      </c>
      <c r="N130">
        <v>23.11</v>
      </c>
      <c r="O130">
        <v>156.07</v>
      </c>
      <c r="P130">
        <v>2.5099999999999998</v>
      </c>
    </row>
    <row r="131" spans="1:16" x14ac:dyDescent="0.35">
      <c r="A131" s="1">
        <v>40586</v>
      </c>
      <c r="B131" s="2">
        <v>0.41666666666666669</v>
      </c>
      <c r="D131">
        <v>81.27</v>
      </c>
      <c r="E131">
        <v>0.19</v>
      </c>
      <c r="F131">
        <v>-1.0900000000000001</v>
      </c>
      <c r="G131">
        <v>5.32</v>
      </c>
      <c r="H131">
        <v>4.2300000000000004</v>
      </c>
      <c r="I131">
        <v>20.49</v>
      </c>
      <c r="J131">
        <v>13.14</v>
      </c>
      <c r="K131">
        <v>28.02</v>
      </c>
      <c r="L131">
        <v>-0.05</v>
      </c>
      <c r="M131">
        <v>798.97</v>
      </c>
      <c r="N131">
        <v>22.42</v>
      </c>
      <c r="O131">
        <v>160.08000000000001</v>
      </c>
      <c r="P131">
        <v>2.5099999999999998</v>
      </c>
    </row>
    <row r="132" spans="1:16" x14ac:dyDescent="0.35">
      <c r="A132" s="1">
        <v>40586</v>
      </c>
      <c r="B132" s="2">
        <v>0.45833333333333331</v>
      </c>
      <c r="D132">
        <v>80.3</v>
      </c>
      <c r="E132">
        <v>0.25</v>
      </c>
      <c r="F132">
        <v>-0.52</v>
      </c>
      <c r="G132">
        <v>5.24</v>
      </c>
      <c r="H132">
        <v>4.72</v>
      </c>
      <c r="I132">
        <v>16.02</v>
      </c>
      <c r="J132">
        <v>12.2</v>
      </c>
      <c r="K132">
        <v>27.27</v>
      </c>
      <c r="L132">
        <v>-0.01</v>
      </c>
      <c r="M132">
        <v>789.99</v>
      </c>
      <c r="N132">
        <v>22.07</v>
      </c>
      <c r="O132">
        <v>159.15</v>
      </c>
      <c r="P132">
        <v>2.48</v>
      </c>
    </row>
    <row r="133" spans="1:16" x14ac:dyDescent="0.35">
      <c r="A133" s="1">
        <v>40586</v>
      </c>
      <c r="B133" s="2">
        <v>0.5</v>
      </c>
      <c r="D133">
        <v>76.569999999999993</v>
      </c>
      <c r="E133">
        <v>0.35</v>
      </c>
      <c r="F133">
        <v>0.12</v>
      </c>
      <c r="G133">
        <v>5.18</v>
      </c>
      <c r="H133">
        <v>5.29</v>
      </c>
      <c r="I133">
        <v>13.49</v>
      </c>
      <c r="J133">
        <v>24.58</v>
      </c>
      <c r="K133">
        <v>31.97</v>
      </c>
      <c r="L133">
        <v>-0.03</v>
      </c>
      <c r="M133">
        <v>752.72</v>
      </c>
      <c r="N133">
        <v>22.43</v>
      </c>
      <c r="O133">
        <v>163.77000000000001</v>
      </c>
      <c r="P133">
        <v>2.0299999999999998</v>
      </c>
    </row>
    <row r="134" spans="1:16" x14ac:dyDescent="0.35">
      <c r="A134" s="1">
        <v>40586</v>
      </c>
      <c r="B134" s="2">
        <v>0.54166666666666663</v>
      </c>
      <c r="D134">
        <v>74.209999999999994</v>
      </c>
      <c r="E134">
        <v>0.36</v>
      </c>
      <c r="F134">
        <v>-0.04</v>
      </c>
      <c r="G134">
        <v>4.82</v>
      </c>
      <c r="H134">
        <v>4.78</v>
      </c>
      <c r="I134">
        <v>13.59</v>
      </c>
      <c r="J134">
        <v>25.6</v>
      </c>
      <c r="K134">
        <v>29.54</v>
      </c>
      <c r="L134">
        <v>-0.02</v>
      </c>
      <c r="M134">
        <v>728.91</v>
      </c>
      <c r="N134">
        <v>22.43</v>
      </c>
      <c r="O134">
        <v>166.09</v>
      </c>
      <c r="P134">
        <v>2.12</v>
      </c>
    </row>
    <row r="135" spans="1:16" x14ac:dyDescent="0.35">
      <c r="A135" s="1">
        <v>40586</v>
      </c>
      <c r="B135" s="2">
        <v>0.58333333333333337</v>
      </c>
      <c r="D135">
        <v>74.38</v>
      </c>
      <c r="E135">
        <v>0.32</v>
      </c>
      <c r="F135">
        <v>0.08</v>
      </c>
      <c r="G135">
        <v>4.93</v>
      </c>
      <c r="H135">
        <v>5</v>
      </c>
      <c r="I135">
        <v>14.4</v>
      </c>
      <c r="J135">
        <v>21.63</v>
      </c>
      <c r="K135">
        <v>28.15</v>
      </c>
      <c r="L135">
        <v>0.02</v>
      </c>
      <c r="M135">
        <v>730.78</v>
      </c>
      <c r="N135">
        <v>22.18</v>
      </c>
      <c r="O135">
        <v>165.9</v>
      </c>
      <c r="P135">
        <v>2.12</v>
      </c>
    </row>
    <row r="136" spans="1:16" x14ac:dyDescent="0.35">
      <c r="A136" s="1">
        <v>40586</v>
      </c>
      <c r="B136" s="2">
        <v>0.625</v>
      </c>
      <c r="D136">
        <v>80.61</v>
      </c>
      <c r="E136">
        <v>0.28000000000000003</v>
      </c>
      <c r="F136">
        <v>-0.37</v>
      </c>
      <c r="G136">
        <v>5.21</v>
      </c>
      <c r="H136">
        <v>4.84</v>
      </c>
      <c r="I136">
        <v>14.42</v>
      </c>
      <c r="J136">
        <v>20.059999999999999</v>
      </c>
      <c r="K136">
        <v>29.73</v>
      </c>
      <c r="L136">
        <v>-0.04</v>
      </c>
      <c r="M136">
        <v>792.69</v>
      </c>
      <c r="N136">
        <v>21.26</v>
      </c>
      <c r="O136">
        <v>183.28</v>
      </c>
      <c r="P136">
        <v>1.64</v>
      </c>
    </row>
    <row r="137" spans="1:16" x14ac:dyDescent="0.35">
      <c r="A137" s="1">
        <v>40586</v>
      </c>
      <c r="B137" s="2">
        <v>0.66666666666666663</v>
      </c>
      <c r="D137">
        <v>91.35</v>
      </c>
      <c r="E137">
        <v>0.26</v>
      </c>
      <c r="F137">
        <v>0.28000000000000003</v>
      </c>
      <c r="G137">
        <v>8.92</v>
      </c>
      <c r="H137">
        <v>9.1999999999999993</v>
      </c>
      <c r="I137">
        <v>9.68</v>
      </c>
      <c r="J137">
        <v>16.059999999999999</v>
      </c>
      <c r="K137">
        <v>48.65</v>
      </c>
      <c r="L137">
        <v>-0.06</v>
      </c>
      <c r="M137">
        <v>900.33</v>
      </c>
      <c r="N137">
        <v>19.75</v>
      </c>
      <c r="O137">
        <v>190.89</v>
      </c>
      <c r="P137">
        <v>0.76</v>
      </c>
    </row>
    <row r="138" spans="1:16" x14ac:dyDescent="0.35">
      <c r="A138" s="1">
        <v>40586</v>
      </c>
      <c r="B138" s="2">
        <v>0.70833333333333337</v>
      </c>
      <c r="D138">
        <v>92.89</v>
      </c>
      <c r="E138">
        <v>0.27</v>
      </c>
      <c r="F138">
        <v>1.55</v>
      </c>
      <c r="G138">
        <v>10.99</v>
      </c>
      <c r="H138">
        <v>12.55</v>
      </c>
      <c r="I138">
        <v>7.06</v>
      </c>
      <c r="J138">
        <v>12.63</v>
      </c>
      <c r="K138">
        <v>47.88</v>
      </c>
      <c r="L138">
        <v>-0.09</v>
      </c>
      <c r="M138">
        <v>915.93</v>
      </c>
      <c r="N138">
        <v>19.59</v>
      </c>
      <c r="O138">
        <v>198.2</v>
      </c>
      <c r="P138">
        <v>0.64</v>
      </c>
    </row>
    <row r="139" spans="1:16" x14ac:dyDescent="0.35">
      <c r="A139" s="1">
        <v>40586</v>
      </c>
      <c r="B139" s="2">
        <v>0.75</v>
      </c>
      <c r="D139">
        <v>94.15</v>
      </c>
      <c r="E139">
        <v>0.27</v>
      </c>
      <c r="F139">
        <v>2.64</v>
      </c>
      <c r="G139">
        <v>14.11</v>
      </c>
      <c r="H139">
        <v>16.75</v>
      </c>
      <c r="I139">
        <v>4</v>
      </c>
      <c r="J139">
        <v>16.86</v>
      </c>
      <c r="K139">
        <v>38.72</v>
      </c>
      <c r="L139">
        <v>0.16</v>
      </c>
      <c r="M139">
        <v>928.36</v>
      </c>
      <c r="N139">
        <v>19.420000000000002</v>
      </c>
      <c r="O139">
        <v>295.22000000000003</v>
      </c>
      <c r="P139">
        <v>0.51</v>
      </c>
    </row>
    <row r="140" spans="1:16" x14ac:dyDescent="0.35">
      <c r="A140" s="1">
        <v>40586</v>
      </c>
      <c r="B140" s="2">
        <v>0.79166666666666663</v>
      </c>
      <c r="D140">
        <v>94.78</v>
      </c>
      <c r="E140">
        <v>0.36</v>
      </c>
      <c r="F140">
        <v>2.91</v>
      </c>
      <c r="G140">
        <v>14.68</v>
      </c>
      <c r="H140">
        <v>17.579999999999998</v>
      </c>
      <c r="I140">
        <v>1.92</v>
      </c>
      <c r="J140">
        <v>14.62</v>
      </c>
      <c r="K140">
        <v>44.72</v>
      </c>
      <c r="L140">
        <v>0.37</v>
      </c>
      <c r="M140">
        <v>932.78</v>
      </c>
      <c r="N140">
        <v>19.3</v>
      </c>
      <c r="O140">
        <v>269.81</v>
      </c>
      <c r="P140">
        <v>0.32</v>
      </c>
    </row>
    <row r="141" spans="1:16" x14ac:dyDescent="0.35">
      <c r="A141" s="1">
        <v>40586</v>
      </c>
      <c r="B141" s="2">
        <v>0.83333333333333337</v>
      </c>
      <c r="D141">
        <v>95.12</v>
      </c>
      <c r="E141">
        <v>0.34</v>
      </c>
      <c r="F141">
        <v>2.21</v>
      </c>
      <c r="G141">
        <v>15</v>
      </c>
      <c r="H141">
        <v>17.22</v>
      </c>
      <c r="I141">
        <v>1.26</v>
      </c>
      <c r="J141">
        <v>12.12</v>
      </c>
      <c r="K141">
        <v>33.700000000000003</v>
      </c>
      <c r="L141">
        <v>0.36</v>
      </c>
      <c r="M141">
        <v>935.17</v>
      </c>
      <c r="N141">
        <v>19.22</v>
      </c>
      <c r="O141">
        <v>307.25</v>
      </c>
      <c r="P141">
        <v>0.56000000000000005</v>
      </c>
    </row>
    <row r="142" spans="1:16" x14ac:dyDescent="0.35">
      <c r="A142" s="1">
        <v>40586</v>
      </c>
      <c r="B142" s="2">
        <v>0.875</v>
      </c>
      <c r="D142">
        <v>94.71</v>
      </c>
      <c r="E142">
        <v>0.25</v>
      </c>
      <c r="F142">
        <v>1.52</v>
      </c>
      <c r="G142">
        <v>13.81</v>
      </c>
      <c r="H142">
        <v>15.32</v>
      </c>
      <c r="I142">
        <v>2.2999999999999998</v>
      </c>
      <c r="J142">
        <v>9.51</v>
      </c>
      <c r="K142">
        <v>31.85</v>
      </c>
      <c r="L142">
        <v>0.2</v>
      </c>
      <c r="M142">
        <v>933.6</v>
      </c>
      <c r="N142">
        <v>19.13</v>
      </c>
      <c r="O142">
        <v>318.24</v>
      </c>
      <c r="P142">
        <v>0.65</v>
      </c>
    </row>
    <row r="143" spans="1:16" x14ac:dyDescent="0.35">
      <c r="A143" s="1">
        <v>40586</v>
      </c>
      <c r="B143" s="2">
        <v>0.91666666666666663</v>
      </c>
      <c r="D143">
        <v>94.31</v>
      </c>
      <c r="E143">
        <v>0.23</v>
      </c>
      <c r="F143">
        <v>1.79</v>
      </c>
      <c r="G143">
        <v>15.09</v>
      </c>
      <c r="H143">
        <v>16.87</v>
      </c>
      <c r="I143">
        <v>1.31</v>
      </c>
      <c r="J143">
        <v>12.15</v>
      </c>
      <c r="K143">
        <v>29.4</v>
      </c>
      <c r="L143">
        <v>-0.05</v>
      </c>
      <c r="M143">
        <v>930.12</v>
      </c>
      <c r="N143">
        <v>19.25</v>
      </c>
      <c r="O143">
        <v>333.16</v>
      </c>
      <c r="P143">
        <v>0.78</v>
      </c>
    </row>
    <row r="144" spans="1:16" x14ac:dyDescent="0.35">
      <c r="A144" s="1">
        <v>40586</v>
      </c>
      <c r="B144" s="2">
        <v>0.95833333333333337</v>
      </c>
      <c r="D144">
        <v>94.31</v>
      </c>
      <c r="E144">
        <v>0.24</v>
      </c>
      <c r="F144">
        <v>1.76</v>
      </c>
      <c r="G144">
        <v>13.48</v>
      </c>
      <c r="H144">
        <v>15.24</v>
      </c>
      <c r="I144">
        <v>1.56</v>
      </c>
      <c r="J144">
        <v>8.52</v>
      </c>
      <c r="K144">
        <v>41.57</v>
      </c>
      <c r="L144">
        <v>0</v>
      </c>
      <c r="M144">
        <v>929.87</v>
      </c>
      <c r="N144">
        <v>19.29</v>
      </c>
      <c r="O144">
        <v>310.32</v>
      </c>
      <c r="P144">
        <v>0.5</v>
      </c>
    </row>
    <row r="145" spans="1:16" x14ac:dyDescent="0.35">
      <c r="A145" s="1">
        <v>40586</v>
      </c>
      <c r="B145" s="18">
        <v>0</v>
      </c>
      <c r="D145">
        <v>94.97</v>
      </c>
      <c r="E145">
        <v>0.24</v>
      </c>
      <c r="F145">
        <v>2.14</v>
      </c>
      <c r="G145">
        <v>12.99</v>
      </c>
      <c r="H145">
        <v>15.13</v>
      </c>
      <c r="I145">
        <v>0.77</v>
      </c>
      <c r="J145">
        <v>10.53</v>
      </c>
      <c r="K145">
        <v>30.1</v>
      </c>
      <c r="L145">
        <v>-0.06</v>
      </c>
      <c r="M145">
        <v>936.8</v>
      </c>
      <c r="N145">
        <v>19.34</v>
      </c>
      <c r="O145">
        <v>321.62</v>
      </c>
      <c r="P145">
        <v>0.63</v>
      </c>
    </row>
    <row r="146" spans="1:16" x14ac:dyDescent="0.35">
      <c r="A146" s="1">
        <v>40587</v>
      </c>
      <c r="B146" s="2">
        <v>4.1666666666666664E-2</v>
      </c>
      <c r="D146">
        <v>94.82</v>
      </c>
      <c r="E146">
        <v>0.25</v>
      </c>
      <c r="F146">
        <v>2.21</v>
      </c>
      <c r="G146">
        <v>11.45</v>
      </c>
      <c r="H146">
        <v>13.67</v>
      </c>
      <c r="I146">
        <v>0.78</v>
      </c>
      <c r="J146">
        <v>10.48</v>
      </c>
      <c r="K146">
        <v>39.5</v>
      </c>
      <c r="L146">
        <v>0.1</v>
      </c>
      <c r="M146">
        <v>935.19</v>
      </c>
      <c r="N146">
        <v>19.39</v>
      </c>
      <c r="O146">
        <v>332.92</v>
      </c>
      <c r="P146">
        <v>0.56999999999999995</v>
      </c>
    </row>
    <row r="147" spans="1:16" x14ac:dyDescent="0.35">
      <c r="A147" s="1">
        <v>40587</v>
      </c>
      <c r="B147" s="2">
        <v>8.3333333333333329E-2</v>
      </c>
      <c r="D147">
        <v>94.53</v>
      </c>
      <c r="E147">
        <v>0.24</v>
      </c>
      <c r="F147">
        <v>0.83</v>
      </c>
      <c r="G147">
        <v>10.35</v>
      </c>
      <c r="H147">
        <v>11.17</v>
      </c>
      <c r="I147">
        <v>1.1599999999999999</v>
      </c>
      <c r="J147">
        <v>8.39</v>
      </c>
      <c r="K147">
        <v>44.69</v>
      </c>
      <c r="L147">
        <v>0.18</v>
      </c>
      <c r="M147">
        <v>932.26</v>
      </c>
      <c r="N147">
        <v>19.440000000000001</v>
      </c>
      <c r="O147">
        <v>311.67</v>
      </c>
      <c r="P147">
        <v>0.37</v>
      </c>
    </row>
    <row r="148" spans="1:16" x14ac:dyDescent="0.35">
      <c r="A148" s="1">
        <v>40587</v>
      </c>
      <c r="B148" s="2">
        <v>0.125</v>
      </c>
      <c r="D148">
        <v>94.9</v>
      </c>
      <c r="E148">
        <v>0.24</v>
      </c>
      <c r="F148">
        <v>2.11</v>
      </c>
      <c r="G148">
        <v>10</v>
      </c>
      <c r="H148">
        <v>12.12</v>
      </c>
      <c r="I148">
        <v>0.38</v>
      </c>
      <c r="J148">
        <v>14.03</v>
      </c>
      <c r="K148">
        <v>82.18</v>
      </c>
      <c r="L148">
        <v>0.17</v>
      </c>
      <c r="M148">
        <v>936.05</v>
      </c>
      <c r="N148">
        <v>19.61</v>
      </c>
      <c r="O148">
        <v>173.17</v>
      </c>
      <c r="P148">
        <v>0.09</v>
      </c>
    </row>
    <row r="149" spans="1:16" x14ac:dyDescent="0.35">
      <c r="A149" s="1">
        <v>40587</v>
      </c>
      <c r="B149" s="2">
        <v>0.16666666666666666</v>
      </c>
      <c r="D149">
        <v>95.04</v>
      </c>
      <c r="E149">
        <v>0.26</v>
      </c>
      <c r="F149">
        <v>4.01</v>
      </c>
      <c r="G149">
        <v>10.48</v>
      </c>
      <c r="H149">
        <v>14.49</v>
      </c>
      <c r="I149">
        <v>0.06</v>
      </c>
      <c r="J149">
        <v>10.28</v>
      </c>
      <c r="K149">
        <v>58.87</v>
      </c>
      <c r="L149">
        <v>0.25</v>
      </c>
      <c r="M149">
        <v>937.4</v>
      </c>
      <c r="N149">
        <v>19.649999999999999</v>
      </c>
      <c r="O149">
        <v>323.29000000000002</v>
      </c>
      <c r="P149">
        <v>0.37</v>
      </c>
    </row>
    <row r="150" spans="1:16" x14ac:dyDescent="0.35">
      <c r="A150" s="1">
        <v>40587</v>
      </c>
      <c r="B150" s="2">
        <v>0.20833333333333334</v>
      </c>
      <c r="D150">
        <v>94.99</v>
      </c>
      <c r="E150">
        <v>0.27</v>
      </c>
      <c r="F150">
        <v>6.04</v>
      </c>
      <c r="G150">
        <v>10.33</v>
      </c>
      <c r="H150">
        <v>16.37</v>
      </c>
      <c r="I150">
        <v>0.06</v>
      </c>
      <c r="J150">
        <v>14.6</v>
      </c>
      <c r="K150">
        <v>78.13</v>
      </c>
      <c r="L150">
        <v>0.38</v>
      </c>
      <c r="M150">
        <v>937</v>
      </c>
      <c r="N150">
        <v>19.66</v>
      </c>
      <c r="O150">
        <v>328.18</v>
      </c>
      <c r="P150">
        <v>0.27</v>
      </c>
    </row>
    <row r="151" spans="1:16" x14ac:dyDescent="0.35">
      <c r="A151" s="1">
        <v>40587</v>
      </c>
      <c r="B151" s="2">
        <v>0.25</v>
      </c>
      <c r="D151">
        <v>95.46</v>
      </c>
      <c r="E151">
        <v>0.27</v>
      </c>
      <c r="F151">
        <v>9.08</v>
      </c>
      <c r="G151">
        <v>9.1300000000000008</v>
      </c>
      <c r="H151">
        <v>18.2</v>
      </c>
      <c r="I151">
        <v>0.11</v>
      </c>
      <c r="J151">
        <v>15.36</v>
      </c>
      <c r="K151">
        <v>37.520000000000003</v>
      </c>
      <c r="L151">
        <v>0.31</v>
      </c>
      <c r="M151">
        <v>941.65</v>
      </c>
      <c r="N151">
        <v>19.7</v>
      </c>
      <c r="O151">
        <v>309.86</v>
      </c>
      <c r="P151">
        <v>0.39</v>
      </c>
    </row>
    <row r="152" spans="1:16" x14ac:dyDescent="0.35">
      <c r="A152" s="1">
        <v>40587</v>
      </c>
      <c r="B152" s="2">
        <v>0.29166666666666669</v>
      </c>
      <c r="D152">
        <v>93.75</v>
      </c>
      <c r="E152">
        <v>0.31</v>
      </c>
      <c r="F152">
        <v>8.24</v>
      </c>
      <c r="G152">
        <v>8.56</v>
      </c>
      <c r="H152">
        <v>16.8</v>
      </c>
      <c r="I152">
        <v>0.79</v>
      </c>
      <c r="J152">
        <v>14.28</v>
      </c>
      <c r="K152">
        <v>36.99</v>
      </c>
      <c r="L152">
        <v>0.25</v>
      </c>
      <c r="M152">
        <v>924.85</v>
      </c>
      <c r="N152">
        <v>20.09</v>
      </c>
      <c r="O152">
        <v>346.79</v>
      </c>
      <c r="P152">
        <v>0.54</v>
      </c>
    </row>
    <row r="153" spans="1:16" x14ac:dyDescent="0.35">
      <c r="A153" s="1">
        <v>40587</v>
      </c>
      <c r="B153" s="2">
        <v>0.33333333333333331</v>
      </c>
      <c r="D153">
        <v>89.12</v>
      </c>
      <c r="E153">
        <v>0.31</v>
      </c>
      <c r="F153">
        <v>8.34</v>
      </c>
      <c r="G153">
        <v>8.93</v>
      </c>
      <c r="H153">
        <v>17.28</v>
      </c>
      <c r="I153">
        <v>2.2400000000000002</v>
      </c>
      <c r="J153">
        <v>19.260000000000002</v>
      </c>
      <c r="K153">
        <v>80.94</v>
      </c>
      <c r="L153">
        <v>0.45</v>
      </c>
      <c r="M153">
        <v>878.71</v>
      </c>
      <c r="N153">
        <v>20.66</v>
      </c>
      <c r="O153">
        <v>227.11</v>
      </c>
      <c r="P153">
        <v>0.19</v>
      </c>
    </row>
    <row r="154" spans="1:16" x14ac:dyDescent="0.35">
      <c r="A154" s="1">
        <v>40587</v>
      </c>
      <c r="B154" s="2">
        <v>0.375</v>
      </c>
      <c r="D154">
        <v>76.900000000000006</v>
      </c>
      <c r="E154">
        <v>0.24</v>
      </c>
      <c r="F154">
        <v>4.47</v>
      </c>
      <c r="G154">
        <v>6.33</v>
      </c>
      <c r="H154">
        <v>10.8</v>
      </c>
      <c r="I154">
        <v>8.9700000000000006</v>
      </c>
      <c r="J154">
        <v>17.97</v>
      </c>
      <c r="K154">
        <v>35.700000000000003</v>
      </c>
      <c r="L154">
        <v>0.91</v>
      </c>
      <c r="M154">
        <v>757.62</v>
      </c>
      <c r="N154">
        <v>22.5</v>
      </c>
      <c r="O154">
        <v>155.57</v>
      </c>
      <c r="P154">
        <v>1.23</v>
      </c>
    </row>
    <row r="155" spans="1:16" x14ac:dyDescent="0.35">
      <c r="A155" s="1">
        <v>40587</v>
      </c>
      <c r="B155" s="2">
        <v>0.41666666666666669</v>
      </c>
      <c r="D155">
        <v>75.010000000000005</v>
      </c>
      <c r="E155">
        <v>0.23</v>
      </c>
      <c r="F155">
        <v>0.6</v>
      </c>
      <c r="G155">
        <v>6.58</v>
      </c>
      <c r="H155">
        <v>7.18</v>
      </c>
      <c r="I155">
        <v>11.15</v>
      </c>
      <c r="J155">
        <v>20.91</v>
      </c>
      <c r="K155">
        <v>30.16</v>
      </c>
      <c r="L155">
        <v>1.3</v>
      </c>
      <c r="M155">
        <v>738.01</v>
      </c>
      <c r="N155">
        <v>22.34</v>
      </c>
      <c r="O155">
        <v>162.16</v>
      </c>
      <c r="P155">
        <v>1.1599999999999999</v>
      </c>
    </row>
    <row r="156" spans="1:16" x14ac:dyDescent="0.35">
      <c r="A156" s="1">
        <v>40587</v>
      </c>
      <c r="B156" s="2">
        <v>0.45833333333333331</v>
      </c>
      <c r="D156">
        <v>73.02</v>
      </c>
      <c r="E156">
        <v>0.19</v>
      </c>
      <c r="F156">
        <v>0.83</v>
      </c>
      <c r="G156">
        <v>5.01</v>
      </c>
      <c r="H156">
        <v>5.84</v>
      </c>
      <c r="I156">
        <v>13.44</v>
      </c>
      <c r="J156">
        <v>17.649999999999999</v>
      </c>
      <c r="K156">
        <v>27.84</v>
      </c>
      <c r="L156">
        <v>1.43</v>
      </c>
      <c r="M156">
        <v>717.98</v>
      </c>
      <c r="N156">
        <v>22.73</v>
      </c>
      <c r="O156">
        <v>150.6</v>
      </c>
      <c r="P156">
        <v>1.92</v>
      </c>
    </row>
    <row r="157" spans="1:16" x14ac:dyDescent="0.35">
      <c r="A157" s="1">
        <v>40587</v>
      </c>
      <c r="B157" s="2">
        <v>0.5</v>
      </c>
      <c r="D157">
        <v>72.760000000000005</v>
      </c>
      <c r="E157">
        <v>0.19</v>
      </c>
      <c r="F157">
        <v>0.6</v>
      </c>
      <c r="G157">
        <v>5.75</v>
      </c>
      <c r="H157">
        <v>6.35</v>
      </c>
      <c r="I157">
        <v>14.21</v>
      </c>
      <c r="J157">
        <v>15.75</v>
      </c>
      <c r="K157">
        <v>30.04</v>
      </c>
      <c r="L157">
        <v>1.86</v>
      </c>
      <c r="M157">
        <v>715.25</v>
      </c>
      <c r="N157">
        <v>22.71</v>
      </c>
      <c r="O157">
        <v>175.17</v>
      </c>
      <c r="P157">
        <v>1.89</v>
      </c>
    </row>
    <row r="158" spans="1:16" x14ac:dyDescent="0.35">
      <c r="A158" s="1">
        <v>40587</v>
      </c>
      <c r="B158" s="2">
        <v>0.54166666666666663</v>
      </c>
      <c r="D158">
        <v>76.25</v>
      </c>
      <c r="E158">
        <v>0.2</v>
      </c>
      <c r="F158">
        <v>0.57999999999999996</v>
      </c>
      <c r="G158">
        <v>5.67</v>
      </c>
      <c r="H158">
        <v>6.25</v>
      </c>
      <c r="I158">
        <v>14.21</v>
      </c>
      <c r="J158">
        <v>16.23</v>
      </c>
      <c r="K158">
        <v>30.42</v>
      </c>
      <c r="L158">
        <v>1.38</v>
      </c>
      <c r="M158">
        <v>749.82</v>
      </c>
      <c r="N158">
        <v>22.16</v>
      </c>
      <c r="O158">
        <v>171.36</v>
      </c>
      <c r="P158">
        <v>2.1</v>
      </c>
    </row>
    <row r="159" spans="1:16" x14ac:dyDescent="0.35">
      <c r="A159" s="1">
        <v>40587</v>
      </c>
      <c r="B159" s="2">
        <v>0.58333333333333337</v>
      </c>
      <c r="D159">
        <v>81.55</v>
      </c>
      <c r="E159">
        <v>0.12</v>
      </c>
      <c r="F159">
        <v>0.09</v>
      </c>
      <c r="G159">
        <v>4.75</v>
      </c>
      <c r="H159">
        <v>4.83</v>
      </c>
      <c r="I159">
        <v>14.79</v>
      </c>
      <c r="J159">
        <v>7.95</v>
      </c>
      <c r="K159">
        <v>29.88</v>
      </c>
      <c r="L159">
        <v>0.22</v>
      </c>
      <c r="M159">
        <v>802.69</v>
      </c>
      <c r="N159">
        <v>21.51</v>
      </c>
      <c r="O159">
        <v>164.71</v>
      </c>
      <c r="P159">
        <v>2.04</v>
      </c>
    </row>
    <row r="160" spans="1:16" x14ac:dyDescent="0.35">
      <c r="A160" s="1">
        <v>40587</v>
      </c>
      <c r="B160" s="2">
        <v>0.625</v>
      </c>
      <c r="D160">
        <v>84.37</v>
      </c>
      <c r="E160">
        <v>0.1</v>
      </c>
      <c r="F160">
        <v>-0.31</v>
      </c>
      <c r="G160">
        <v>4.22</v>
      </c>
      <c r="H160">
        <v>3.91</v>
      </c>
      <c r="I160">
        <v>14.58</v>
      </c>
      <c r="J160">
        <v>6.75</v>
      </c>
      <c r="K160">
        <v>32.869999999999997</v>
      </c>
      <c r="L160">
        <v>-0.02</v>
      </c>
      <c r="M160">
        <v>830.9</v>
      </c>
      <c r="N160">
        <v>20.98</v>
      </c>
      <c r="O160">
        <v>171.69</v>
      </c>
      <c r="P160">
        <v>2.1800000000000002</v>
      </c>
    </row>
    <row r="161" spans="1:16" x14ac:dyDescent="0.35">
      <c r="A161" s="1">
        <v>40587</v>
      </c>
      <c r="B161" s="2">
        <v>0.66666666666666663</v>
      </c>
      <c r="D161">
        <v>80.489999999999995</v>
      </c>
      <c r="E161">
        <v>0.28000000000000003</v>
      </c>
      <c r="F161">
        <v>-0.72</v>
      </c>
      <c r="G161">
        <v>4.3899999999999997</v>
      </c>
      <c r="H161">
        <v>3.67</v>
      </c>
      <c r="I161">
        <v>16.21</v>
      </c>
      <c r="J161">
        <v>11.65</v>
      </c>
      <c r="K161">
        <v>27.24</v>
      </c>
      <c r="L161">
        <v>-0.05</v>
      </c>
      <c r="M161">
        <v>792.57</v>
      </c>
      <c r="N161">
        <v>20.97</v>
      </c>
      <c r="O161">
        <v>162.1</v>
      </c>
      <c r="P161">
        <v>2.67</v>
      </c>
    </row>
    <row r="162" spans="1:16" x14ac:dyDescent="0.35">
      <c r="A162" s="1">
        <v>40587</v>
      </c>
      <c r="B162" s="2">
        <v>0.70833333333333337</v>
      </c>
      <c r="D162">
        <v>78.77</v>
      </c>
      <c r="E162">
        <v>0.3</v>
      </c>
      <c r="F162">
        <v>-0.84</v>
      </c>
      <c r="G162">
        <v>3.94</v>
      </c>
      <c r="H162">
        <v>3.1</v>
      </c>
      <c r="I162">
        <v>17.579999999999998</v>
      </c>
      <c r="J162">
        <v>15.42</v>
      </c>
      <c r="K162">
        <v>28.59</v>
      </c>
      <c r="L162">
        <v>-0.14000000000000001</v>
      </c>
      <c r="M162">
        <v>775.13</v>
      </c>
      <c r="N162">
        <v>20.78</v>
      </c>
      <c r="O162">
        <v>168.83</v>
      </c>
      <c r="P162">
        <v>2.85</v>
      </c>
    </row>
    <row r="163" spans="1:16" x14ac:dyDescent="0.35">
      <c r="A163" s="1">
        <v>40587</v>
      </c>
      <c r="B163" s="2">
        <v>0.75</v>
      </c>
      <c r="D163">
        <v>77.31</v>
      </c>
      <c r="E163">
        <v>0.32</v>
      </c>
      <c r="F163">
        <v>-0.93</v>
      </c>
      <c r="G163">
        <v>4.83</v>
      </c>
      <c r="H163">
        <v>3.9</v>
      </c>
      <c r="I163">
        <v>17</v>
      </c>
      <c r="J163">
        <v>21</v>
      </c>
      <c r="K163">
        <v>30.35</v>
      </c>
      <c r="L163">
        <v>-0.12</v>
      </c>
      <c r="M163">
        <v>760.78</v>
      </c>
      <c r="N163">
        <v>20.84</v>
      </c>
      <c r="O163">
        <v>160.46</v>
      </c>
      <c r="P163">
        <v>2.34</v>
      </c>
    </row>
    <row r="164" spans="1:16" x14ac:dyDescent="0.35">
      <c r="A164" s="1">
        <v>40587</v>
      </c>
      <c r="B164" s="2">
        <v>0.79166666666666663</v>
      </c>
      <c r="D164">
        <v>76.239999999999995</v>
      </c>
      <c r="E164">
        <v>0.34</v>
      </c>
      <c r="F164">
        <v>-0.89</v>
      </c>
      <c r="G164">
        <v>4.8600000000000003</v>
      </c>
      <c r="H164">
        <v>3.97</v>
      </c>
      <c r="I164">
        <v>16.690000000000001</v>
      </c>
      <c r="J164">
        <v>26.89</v>
      </c>
      <c r="K164">
        <v>29.83</v>
      </c>
      <c r="L164">
        <v>-0.04</v>
      </c>
      <c r="M164">
        <v>750.33</v>
      </c>
      <c r="N164">
        <v>20.76</v>
      </c>
      <c r="O164">
        <v>167.72</v>
      </c>
      <c r="P164">
        <v>1.78</v>
      </c>
    </row>
    <row r="165" spans="1:16" x14ac:dyDescent="0.35">
      <c r="A165" s="1">
        <v>40587</v>
      </c>
      <c r="B165" s="2">
        <v>0.83333333333333337</v>
      </c>
      <c r="D165">
        <v>74.790000000000006</v>
      </c>
      <c r="E165">
        <v>0.28000000000000003</v>
      </c>
      <c r="F165">
        <v>-0.98</v>
      </c>
      <c r="G165">
        <v>4.68</v>
      </c>
      <c r="H165">
        <v>3.69</v>
      </c>
      <c r="I165">
        <v>15.44</v>
      </c>
      <c r="J165">
        <v>21.88</v>
      </c>
      <c r="K165">
        <v>26.84</v>
      </c>
      <c r="L165">
        <v>-0.12</v>
      </c>
      <c r="M165">
        <v>735.51</v>
      </c>
      <c r="N165">
        <v>20.74</v>
      </c>
      <c r="O165">
        <v>159.24</v>
      </c>
      <c r="P165">
        <v>2.5</v>
      </c>
    </row>
    <row r="166" spans="1:16" x14ac:dyDescent="0.35">
      <c r="A166" s="1">
        <v>40587</v>
      </c>
      <c r="B166" s="2">
        <v>0.875</v>
      </c>
      <c r="D166">
        <v>78.02</v>
      </c>
      <c r="E166">
        <v>0.24</v>
      </c>
      <c r="F166">
        <v>-0.88</v>
      </c>
      <c r="G166">
        <v>4.4800000000000004</v>
      </c>
      <c r="H166">
        <v>3.6</v>
      </c>
      <c r="I166">
        <v>14.44</v>
      </c>
      <c r="J166">
        <v>20.45</v>
      </c>
      <c r="K166">
        <v>30.74</v>
      </c>
      <c r="L166">
        <v>-0.2</v>
      </c>
      <c r="M166">
        <v>767.65</v>
      </c>
      <c r="N166">
        <v>20.38</v>
      </c>
      <c r="O166">
        <v>173.56</v>
      </c>
      <c r="P166">
        <v>1.65</v>
      </c>
    </row>
    <row r="167" spans="1:16" x14ac:dyDescent="0.35">
      <c r="A167" s="1">
        <v>40587</v>
      </c>
      <c r="B167" s="2">
        <v>0.91666666666666663</v>
      </c>
      <c r="D167">
        <v>80.260000000000005</v>
      </c>
      <c r="E167">
        <v>0.25</v>
      </c>
      <c r="F167">
        <v>-0.82</v>
      </c>
      <c r="G167">
        <v>4.5999999999999996</v>
      </c>
      <c r="H167">
        <v>3.78</v>
      </c>
      <c r="I167">
        <v>13.24</v>
      </c>
      <c r="J167">
        <v>19.84</v>
      </c>
      <c r="K167">
        <v>29.99</v>
      </c>
      <c r="L167">
        <v>-0.19</v>
      </c>
      <c r="M167">
        <v>789.87</v>
      </c>
      <c r="N167">
        <v>20.12</v>
      </c>
      <c r="O167">
        <v>190.79</v>
      </c>
      <c r="P167">
        <v>1.72</v>
      </c>
    </row>
    <row r="168" spans="1:16" x14ac:dyDescent="0.35">
      <c r="A168" s="1">
        <v>40587</v>
      </c>
      <c r="B168" s="2">
        <v>0.95833333333333337</v>
      </c>
      <c r="D168">
        <v>81.64</v>
      </c>
      <c r="E168">
        <v>0.24</v>
      </c>
      <c r="F168">
        <v>-1.07</v>
      </c>
      <c r="G168">
        <v>5.05</v>
      </c>
      <c r="H168">
        <v>3.98</v>
      </c>
      <c r="I168">
        <v>11.3</v>
      </c>
      <c r="J168">
        <v>13.18</v>
      </c>
      <c r="K168">
        <v>28.56</v>
      </c>
      <c r="L168">
        <v>0.17</v>
      </c>
      <c r="M168">
        <v>803.97</v>
      </c>
      <c r="N168">
        <v>19.63</v>
      </c>
      <c r="O168">
        <v>201.93</v>
      </c>
      <c r="P168">
        <v>1.47</v>
      </c>
    </row>
    <row r="169" spans="1:16" x14ac:dyDescent="0.35">
      <c r="A169" s="1">
        <v>40587</v>
      </c>
      <c r="B169" s="18">
        <v>0</v>
      </c>
      <c r="D169">
        <v>80.05</v>
      </c>
      <c r="E169">
        <v>0.25</v>
      </c>
      <c r="F169">
        <v>-0.97</v>
      </c>
      <c r="G169">
        <v>6.09</v>
      </c>
      <c r="H169">
        <v>5.12</v>
      </c>
      <c r="I169">
        <v>9.23</v>
      </c>
      <c r="J169">
        <v>19.16</v>
      </c>
      <c r="K169">
        <v>28.26</v>
      </c>
      <c r="L169">
        <v>0.87</v>
      </c>
      <c r="M169">
        <v>788.02</v>
      </c>
      <c r="N169">
        <v>19.53</v>
      </c>
      <c r="O169">
        <v>196.53</v>
      </c>
      <c r="P169">
        <v>1.24</v>
      </c>
    </row>
    <row r="170" spans="1:16" x14ac:dyDescent="0.35">
      <c r="A170" s="1">
        <v>40588</v>
      </c>
      <c r="B170" s="2">
        <v>4.1666666666666664E-2</v>
      </c>
      <c r="D170">
        <v>79.739999999999995</v>
      </c>
      <c r="E170">
        <v>0.23</v>
      </c>
      <c r="F170">
        <v>-1</v>
      </c>
      <c r="G170">
        <v>7.64</v>
      </c>
      <c r="H170">
        <v>6.65</v>
      </c>
      <c r="I170">
        <v>6.45</v>
      </c>
      <c r="J170">
        <v>17.12</v>
      </c>
      <c r="K170">
        <v>24.5</v>
      </c>
      <c r="L170">
        <v>0.72</v>
      </c>
      <c r="M170">
        <v>784.94</v>
      </c>
      <c r="N170">
        <v>19.440000000000001</v>
      </c>
      <c r="O170">
        <v>206.67</v>
      </c>
      <c r="P170">
        <v>1.08</v>
      </c>
    </row>
    <row r="171" spans="1:16" x14ac:dyDescent="0.35">
      <c r="A171" s="1">
        <v>40588</v>
      </c>
      <c r="B171" s="2">
        <v>8.3333333333333329E-2</v>
      </c>
      <c r="D171">
        <v>82.35</v>
      </c>
      <c r="E171">
        <v>0.2</v>
      </c>
      <c r="F171">
        <v>-0.89</v>
      </c>
      <c r="G171">
        <v>7.55</v>
      </c>
      <c r="H171">
        <v>6.66</v>
      </c>
      <c r="I171">
        <v>5.67</v>
      </c>
      <c r="J171">
        <v>14.7</v>
      </c>
      <c r="K171">
        <v>29.78</v>
      </c>
      <c r="L171">
        <v>0.38</v>
      </c>
      <c r="M171">
        <v>810.85</v>
      </c>
      <c r="N171">
        <v>18.88</v>
      </c>
      <c r="O171">
        <v>201.16</v>
      </c>
      <c r="P171">
        <v>0.79</v>
      </c>
    </row>
    <row r="172" spans="1:16" x14ac:dyDescent="0.35">
      <c r="A172" s="1">
        <v>40588</v>
      </c>
      <c r="B172" s="2">
        <v>0.125</v>
      </c>
      <c r="D172">
        <v>87.01</v>
      </c>
      <c r="E172">
        <v>0.19</v>
      </c>
      <c r="F172">
        <v>-0.66</v>
      </c>
      <c r="G172">
        <v>8.61</v>
      </c>
      <c r="H172">
        <v>7.94</v>
      </c>
      <c r="I172">
        <v>3.39</v>
      </c>
      <c r="J172">
        <v>17.489999999999998</v>
      </c>
      <c r="K172">
        <v>47.87</v>
      </c>
      <c r="L172">
        <v>0.27</v>
      </c>
      <c r="M172">
        <v>857.37</v>
      </c>
      <c r="N172">
        <v>18.37</v>
      </c>
      <c r="O172">
        <v>195.71</v>
      </c>
      <c r="P172">
        <v>0.5</v>
      </c>
    </row>
    <row r="173" spans="1:16" x14ac:dyDescent="0.35">
      <c r="A173" s="1">
        <v>40588</v>
      </c>
      <c r="B173" s="2">
        <v>0.16666666666666666</v>
      </c>
      <c r="D173">
        <v>83.63</v>
      </c>
      <c r="E173">
        <v>0.19</v>
      </c>
      <c r="F173">
        <v>-0.4</v>
      </c>
      <c r="G173">
        <v>9.31</v>
      </c>
      <c r="H173">
        <v>8.91</v>
      </c>
      <c r="I173">
        <v>2.1</v>
      </c>
      <c r="J173">
        <v>11.65</v>
      </c>
      <c r="K173">
        <v>49.31</v>
      </c>
      <c r="L173">
        <v>0.3</v>
      </c>
      <c r="M173">
        <v>823.79</v>
      </c>
      <c r="N173">
        <v>18.57</v>
      </c>
      <c r="O173">
        <v>204.09</v>
      </c>
      <c r="P173">
        <v>0.56999999999999995</v>
      </c>
    </row>
    <row r="174" spans="1:16" x14ac:dyDescent="0.35">
      <c r="A174" s="1">
        <v>40588</v>
      </c>
      <c r="B174" s="2">
        <v>0.20833333333333334</v>
      </c>
      <c r="D174">
        <v>79.180000000000007</v>
      </c>
      <c r="E174">
        <v>0.2</v>
      </c>
      <c r="F174">
        <v>-0.21</v>
      </c>
      <c r="G174">
        <v>9.64</v>
      </c>
      <c r="H174">
        <v>9.43</v>
      </c>
      <c r="I174">
        <v>3.65</v>
      </c>
      <c r="J174">
        <v>19.3</v>
      </c>
      <c r="K174">
        <v>26.12</v>
      </c>
      <c r="L174">
        <v>0.55000000000000004</v>
      </c>
      <c r="M174">
        <v>779.26</v>
      </c>
      <c r="N174">
        <v>19.07</v>
      </c>
      <c r="O174">
        <v>202.26</v>
      </c>
      <c r="P174">
        <v>0.99</v>
      </c>
    </row>
    <row r="175" spans="1:16" x14ac:dyDescent="0.35">
      <c r="A175" s="1">
        <v>40588</v>
      </c>
      <c r="B175" s="2">
        <v>0.25</v>
      </c>
      <c r="D175">
        <v>83</v>
      </c>
      <c r="E175">
        <v>0.22</v>
      </c>
      <c r="F175">
        <v>1.1100000000000001</v>
      </c>
      <c r="G175">
        <v>12.15</v>
      </c>
      <c r="H175">
        <v>13.26</v>
      </c>
      <c r="I175">
        <v>1.91</v>
      </c>
      <c r="J175">
        <v>20.28</v>
      </c>
      <c r="K175">
        <v>28.96</v>
      </c>
      <c r="L175">
        <v>0.54</v>
      </c>
      <c r="M175">
        <v>817.42</v>
      </c>
      <c r="N175">
        <v>18.72</v>
      </c>
      <c r="O175">
        <v>202.44</v>
      </c>
      <c r="P175">
        <v>0.7</v>
      </c>
    </row>
    <row r="176" spans="1:16" x14ac:dyDescent="0.35">
      <c r="A176" s="1">
        <v>40588</v>
      </c>
      <c r="B176" s="2">
        <v>0.29166666666666669</v>
      </c>
      <c r="D176">
        <v>79.75</v>
      </c>
      <c r="E176">
        <v>0.23</v>
      </c>
      <c r="F176">
        <v>6.33</v>
      </c>
      <c r="G176">
        <v>14.4</v>
      </c>
      <c r="H176">
        <v>20.74</v>
      </c>
      <c r="I176">
        <v>0.84</v>
      </c>
      <c r="J176">
        <v>20.92</v>
      </c>
      <c r="K176">
        <v>34.33</v>
      </c>
      <c r="L176">
        <v>0.62</v>
      </c>
      <c r="M176">
        <v>785.13</v>
      </c>
      <c r="N176">
        <v>19.12</v>
      </c>
      <c r="O176">
        <v>198.75</v>
      </c>
      <c r="P176">
        <v>0.64</v>
      </c>
    </row>
    <row r="177" spans="1:16" x14ac:dyDescent="0.35">
      <c r="A177" s="1">
        <v>40588</v>
      </c>
      <c r="B177" s="2">
        <v>0.33333333333333331</v>
      </c>
      <c r="D177">
        <v>80.52</v>
      </c>
      <c r="E177">
        <v>0.24</v>
      </c>
      <c r="F177">
        <v>10.63</v>
      </c>
      <c r="G177">
        <v>13.6</v>
      </c>
      <c r="H177">
        <v>24.23</v>
      </c>
      <c r="I177">
        <v>2.0099999999999998</v>
      </c>
      <c r="J177">
        <v>26.17</v>
      </c>
      <c r="K177">
        <v>42.38</v>
      </c>
      <c r="L177">
        <v>0.63</v>
      </c>
      <c r="M177">
        <v>792.85</v>
      </c>
      <c r="N177">
        <v>19.489999999999998</v>
      </c>
      <c r="O177">
        <v>191.62</v>
      </c>
      <c r="P177">
        <v>0.71</v>
      </c>
    </row>
    <row r="178" spans="1:16" x14ac:dyDescent="0.35">
      <c r="A178" s="1">
        <v>40588</v>
      </c>
      <c r="B178" s="2">
        <v>0.375</v>
      </c>
      <c r="D178">
        <v>72.02</v>
      </c>
      <c r="E178">
        <v>0.22</v>
      </c>
      <c r="F178">
        <v>6.88</v>
      </c>
      <c r="G178">
        <v>9.89</v>
      </c>
      <c r="H178">
        <v>16.77</v>
      </c>
      <c r="I178">
        <v>6.53</v>
      </c>
      <c r="J178">
        <v>24.59</v>
      </c>
      <c r="K178">
        <v>33.79</v>
      </c>
      <c r="L178">
        <v>0.47</v>
      </c>
      <c r="M178">
        <v>708.97</v>
      </c>
      <c r="N178">
        <v>21.04</v>
      </c>
      <c r="O178">
        <v>168.04</v>
      </c>
      <c r="P178">
        <v>1.57</v>
      </c>
    </row>
    <row r="179" spans="1:16" x14ac:dyDescent="0.35">
      <c r="A179" s="1">
        <v>40588</v>
      </c>
      <c r="B179" s="2">
        <v>0.41666666666666669</v>
      </c>
      <c r="D179">
        <v>64.540000000000006</v>
      </c>
      <c r="E179">
        <v>0.16</v>
      </c>
      <c r="F179">
        <v>1.46</v>
      </c>
      <c r="G179">
        <v>5.76</v>
      </c>
      <c r="H179">
        <v>7.22</v>
      </c>
      <c r="I179">
        <v>12.88</v>
      </c>
      <c r="J179">
        <v>19.93</v>
      </c>
      <c r="K179">
        <v>26.8</v>
      </c>
      <c r="L179">
        <v>0.09</v>
      </c>
      <c r="M179">
        <v>633.98</v>
      </c>
      <c r="N179">
        <v>21.87</v>
      </c>
      <c r="O179">
        <v>145.5</v>
      </c>
      <c r="P179">
        <v>2.33</v>
      </c>
    </row>
    <row r="180" spans="1:16" x14ac:dyDescent="0.35">
      <c r="A180" s="1">
        <v>40588</v>
      </c>
      <c r="B180" s="2">
        <v>0.45833333333333331</v>
      </c>
      <c r="D180">
        <v>61.02</v>
      </c>
      <c r="E180">
        <v>0.13</v>
      </c>
      <c r="F180">
        <v>0.56000000000000005</v>
      </c>
      <c r="G180">
        <v>5.68</v>
      </c>
      <c r="H180">
        <v>6.24</v>
      </c>
      <c r="I180">
        <v>14.65</v>
      </c>
      <c r="J180">
        <v>18.38</v>
      </c>
      <c r="K180">
        <v>25.09</v>
      </c>
      <c r="L180">
        <v>0.44</v>
      </c>
      <c r="M180">
        <v>598.32000000000005</v>
      </c>
      <c r="N180">
        <v>22.44</v>
      </c>
      <c r="O180">
        <v>139.01</v>
      </c>
      <c r="P180">
        <v>2.58</v>
      </c>
    </row>
    <row r="181" spans="1:16" x14ac:dyDescent="0.35">
      <c r="A181" s="1">
        <v>40588</v>
      </c>
      <c r="B181" s="2">
        <v>0.5</v>
      </c>
      <c r="D181">
        <v>73.14</v>
      </c>
      <c r="E181">
        <v>0.16</v>
      </c>
      <c r="F181">
        <v>0.69</v>
      </c>
      <c r="G181">
        <v>7.09</v>
      </c>
      <c r="H181">
        <v>7.79</v>
      </c>
      <c r="I181">
        <v>12.68</v>
      </c>
      <c r="J181">
        <v>23.05</v>
      </c>
      <c r="K181">
        <v>27.85</v>
      </c>
      <c r="L181">
        <v>-0.01</v>
      </c>
      <c r="M181">
        <v>717.98</v>
      </c>
      <c r="N181">
        <v>21.53</v>
      </c>
      <c r="O181">
        <v>172.38</v>
      </c>
      <c r="P181">
        <v>1.93</v>
      </c>
    </row>
    <row r="182" spans="1:16" x14ac:dyDescent="0.35">
      <c r="A182" s="1">
        <v>40588</v>
      </c>
      <c r="B182" s="2">
        <v>0.54166666666666663</v>
      </c>
    </row>
    <row r="183" spans="1:16" x14ac:dyDescent="0.35">
      <c r="A183" s="1">
        <v>40588</v>
      </c>
      <c r="B183" s="2">
        <v>0.58333333333333337</v>
      </c>
      <c r="D183">
        <v>66.78</v>
      </c>
      <c r="E183">
        <v>0.11</v>
      </c>
      <c r="F183">
        <v>1.58</v>
      </c>
      <c r="G183">
        <v>7.11</v>
      </c>
      <c r="H183">
        <v>8.69</v>
      </c>
      <c r="I183">
        <v>9.9</v>
      </c>
      <c r="K183">
        <v>25.99</v>
      </c>
      <c r="L183">
        <v>1.69</v>
      </c>
      <c r="M183">
        <v>655.45</v>
      </c>
      <c r="N183">
        <v>22.02</v>
      </c>
      <c r="O183">
        <v>129.97</v>
      </c>
      <c r="P183">
        <v>2.4700000000000002</v>
      </c>
    </row>
    <row r="184" spans="1:16" x14ac:dyDescent="0.35">
      <c r="A184" s="1">
        <v>40588</v>
      </c>
      <c r="B184" s="2">
        <v>0.625</v>
      </c>
      <c r="D184">
        <v>61.69</v>
      </c>
      <c r="E184">
        <v>0.11</v>
      </c>
      <c r="F184">
        <v>1.6</v>
      </c>
      <c r="G184">
        <v>7.04</v>
      </c>
      <c r="H184">
        <v>8.64</v>
      </c>
      <c r="I184">
        <v>11.43</v>
      </c>
      <c r="J184">
        <v>13.33</v>
      </c>
      <c r="K184">
        <v>25.4</v>
      </c>
      <c r="L184">
        <v>1.91</v>
      </c>
      <c r="M184">
        <v>604.92999999999995</v>
      </c>
      <c r="N184">
        <v>22.47</v>
      </c>
      <c r="O184">
        <v>137.63</v>
      </c>
      <c r="P184">
        <v>2.4</v>
      </c>
    </row>
    <row r="185" spans="1:16" x14ac:dyDescent="0.35">
      <c r="A185" s="1">
        <v>40588</v>
      </c>
      <c r="B185" s="2">
        <v>0.66666666666666663</v>
      </c>
      <c r="D185">
        <v>59.48</v>
      </c>
      <c r="E185">
        <v>0.09</v>
      </c>
      <c r="F185">
        <v>1.04</v>
      </c>
      <c r="G185">
        <v>5.83</v>
      </c>
      <c r="H185">
        <v>6.87</v>
      </c>
      <c r="I185">
        <v>12.86</v>
      </c>
      <c r="J185">
        <v>15.06</v>
      </c>
      <c r="K185">
        <v>22.95</v>
      </c>
      <c r="L185">
        <v>1.69</v>
      </c>
      <c r="M185">
        <v>583.09</v>
      </c>
      <c r="N185">
        <v>22.62</v>
      </c>
      <c r="O185">
        <v>140.38999999999999</v>
      </c>
      <c r="P185">
        <v>3.01</v>
      </c>
    </row>
    <row r="186" spans="1:16" x14ac:dyDescent="0.35">
      <c r="A186" s="1">
        <v>40588</v>
      </c>
      <c r="B186" s="2">
        <v>0.70833333333333337</v>
      </c>
      <c r="D186">
        <v>58.82</v>
      </c>
      <c r="E186">
        <v>0.08</v>
      </c>
      <c r="F186">
        <v>1.44</v>
      </c>
      <c r="G186">
        <v>7.74</v>
      </c>
      <c r="H186">
        <v>9.18</v>
      </c>
      <c r="I186">
        <v>11.1</v>
      </c>
      <c r="J186">
        <v>13.37</v>
      </c>
      <c r="K186">
        <v>20.09</v>
      </c>
      <c r="L186">
        <v>3.89</v>
      </c>
      <c r="M186">
        <v>576.48</v>
      </c>
      <c r="N186">
        <v>22.42</v>
      </c>
      <c r="O186">
        <v>137.32</v>
      </c>
      <c r="P186">
        <v>2.97</v>
      </c>
    </row>
    <row r="187" spans="1:16" x14ac:dyDescent="0.35">
      <c r="A187" s="1">
        <v>40588</v>
      </c>
      <c r="B187" s="2">
        <v>0.75</v>
      </c>
      <c r="D187">
        <v>57.74</v>
      </c>
      <c r="E187">
        <v>0.08</v>
      </c>
      <c r="F187">
        <v>0.83</v>
      </c>
      <c r="G187">
        <v>6.69</v>
      </c>
      <c r="H187">
        <v>7.52</v>
      </c>
      <c r="I187">
        <v>11.01</v>
      </c>
      <c r="J187">
        <v>11.89</v>
      </c>
      <c r="K187">
        <v>23.73</v>
      </c>
      <c r="L187">
        <v>1.52</v>
      </c>
      <c r="M187">
        <v>565.67999999999995</v>
      </c>
      <c r="N187">
        <v>22.33</v>
      </c>
      <c r="O187">
        <v>140.80000000000001</v>
      </c>
      <c r="P187">
        <v>2.63</v>
      </c>
    </row>
    <row r="188" spans="1:16" x14ac:dyDescent="0.35">
      <c r="A188" s="1">
        <v>40588</v>
      </c>
      <c r="B188" s="2">
        <v>0.79166666666666663</v>
      </c>
      <c r="D188">
        <v>60.88</v>
      </c>
      <c r="E188">
        <v>0.08</v>
      </c>
      <c r="F188">
        <v>-7.0000000000000007E-2</v>
      </c>
      <c r="G188">
        <v>6.76</v>
      </c>
      <c r="H188">
        <v>6.69</v>
      </c>
      <c r="I188">
        <v>10.49</v>
      </c>
      <c r="J188">
        <v>16.309999999999999</v>
      </c>
      <c r="K188">
        <v>20.85</v>
      </c>
      <c r="L188">
        <v>2.2999999999999998</v>
      </c>
      <c r="M188">
        <v>596.59</v>
      </c>
      <c r="N188">
        <v>22</v>
      </c>
      <c r="O188">
        <v>139.52000000000001</v>
      </c>
      <c r="P188">
        <v>2.8</v>
      </c>
    </row>
    <row r="189" spans="1:16" x14ac:dyDescent="0.35">
      <c r="A189" s="1">
        <v>40588</v>
      </c>
      <c r="B189" s="2">
        <v>0.83333333333333337</v>
      </c>
      <c r="D189">
        <v>61.38</v>
      </c>
      <c r="E189">
        <v>0.08</v>
      </c>
      <c r="F189">
        <v>-0.72</v>
      </c>
      <c r="G189">
        <v>6.64</v>
      </c>
      <c r="H189">
        <v>5.92</v>
      </c>
      <c r="I189">
        <v>10.45</v>
      </c>
      <c r="J189">
        <v>13.86</v>
      </c>
      <c r="K189">
        <v>21.3</v>
      </c>
      <c r="L189">
        <v>2.78</v>
      </c>
      <c r="M189">
        <v>601.76</v>
      </c>
      <c r="N189">
        <v>21.8</v>
      </c>
      <c r="O189">
        <v>142.29</v>
      </c>
      <c r="P189">
        <v>2.58</v>
      </c>
    </row>
    <row r="190" spans="1:16" x14ac:dyDescent="0.35">
      <c r="A190" s="1">
        <v>40588</v>
      </c>
      <c r="B190" s="2">
        <v>0.875</v>
      </c>
      <c r="D190">
        <v>59.88</v>
      </c>
      <c r="E190">
        <v>0.09</v>
      </c>
      <c r="F190">
        <v>-0.68</v>
      </c>
      <c r="G190">
        <v>7.52</v>
      </c>
      <c r="H190">
        <v>6.85</v>
      </c>
      <c r="I190">
        <v>9.2100000000000009</v>
      </c>
      <c r="J190">
        <v>11.94</v>
      </c>
      <c r="K190">
        <v>26.44</v>
      </c>
      <c r="L190">
        <v>0.5</v>
      </c>
      <c r="M190">
        <v>586.66999999999996</v>
      </c>
      <c r="N190">
        <v>21.76</v>
      </c>
      <c r="O190">
        <v>146.44</v>
      </c>
      <c r="P190">
        <v>1.85</v>
      </c>
    </row>
    <row r="191" spans="1:16" x14ac:dyDescent="0.35">
      <c r="A191" s="1">
        <v>40588</v>
      </c>
      <c r="B191" s="2">
        <v>0.91666666666666663</v>
      </c>
      <c r="D191">
        <v>61.6</v>
      </c>
      <c r="E191">
        <v>0.09</v>
      </c>
      <c r="F191">
        <v>-0.64</v>
      </c>
      <c r="G191">
        <v>9.1300000000000008</v>
      </c>
      <c r="H191">
        <v>8.49</v>
      </c>
      <c r="I191">
        <v>7.65</v>
      </c>
      <c r="J191">
        <v>12.36</v>
      </c>
      <c r="K191">
        <v>23.3</v>
      </c>
      <c r="L191">
        <v>0.44</v>
      </c>
      <c r="M191">
        <v>603.83000000000004</v>
      </c>
      <c r="N191">
        <v>21.67</v>
      </c>
      <c r="O191">
        <v>149.13999999999999</v>
      </c>
      <c r="P191">
        <v>1.53</v>
      </c>
    </row>
    <row r="192" spans="1:16" x14ac:dyDescent="0.35">
      <c r="A192" s="1">
        <v>40588</v>
      </c>
      <c r="B192" s="2">
        <v>0.95833333333333337</v>
      </c>
      <c r="D192">
        <v>62.53</v>
      </c>
      <c r="E192">
        <v>0.09</v>
      </c>
      <c r="F192">
        <v>-0.64</v>
      </c>
      <c r="G192">
        <v>9.09</v>
      </c>
      <c r="H192">
        <v>8.4600000000000009</v>
      </c>
      <c r="I192">
        <v>7.57</v>
      </c>
      <c r="J192">
        <v>12.65</v>
      </c>
      <c r="K192">
        <v>26.96</v>
      </c>
      <c r="L192">
        <v>0.45</v>
      </c>
      <c r="M192">
        <v>612.99</v>
      </c>
      <c r="N192">
        <v>21.45</v>
      </c>
      <c r="O192">
        <v>161.59</v>
      </c>
      <c r="P192">
        <v>1.48</v>
      </c>
    </row>
    <row r="193" spans="1:16" x14ac:dyDescent="0.35">
      <c r="A193" s="1">
        <v>40588</v>
      </c>
      <c r="B193" s="18">
        <v>0</v>
      </c>
      <c r="D193">
        <v>66.39</v>
      </c>
      <c r="E193">
        <v>0.08</v>
      </c>
      <c r="F193">
        <v>-1.1000000000000001</v>
      </c>
      <c r="G193">
        <v>6.69</v>
      </c>
      <c r="H193">
        <v>5.59</v>
      </c>
      <c r="I193">
        <v>9.08</v>
      </c>
      <c r="J193">
        <v>9.6199999999999992</v>
      </c>
      <c r="K193">
        <v>25.64</v>
      </c>
      <c r="L193">
        <v>0.27</v>
      </c>
      <c r="M193">
        <v>651.4</v>
      </c>
      <c r="N193">
        <v>20.41</v>
      </c>
      <c r="O193">
        <v>187.81</v>
      </c>
      <c r="P193">
        <v>0.84</v>
      </c>
    </row>
    <row r="194" spans="1:16" x14ac:dyDescent="0.35">
      <c r="A194" s="1">
        <v>40589</v>
      </c>
      <c r="B194" s="2">
        <v>4.1666666666666664E-2</v>
      </c>
      <c r="D194">
        <v>79.63</v>
      </c>
      <c r="E194">
        <v>0.08</v>
      </c>
      <c r="F194">
        <v>-0.79</v>
      </c>
      <c r="G194">
        <v>8.83</v>
      </c>
      <c r="H194">
        <v>8.0399999999999991</v>
      </c>
      <c r="I194">
        <v>4.3499999999999996</v>
      </c>
      <c r="J194">
        <v>9.9499999999999993</v>
      </c>
      <c r="K194">
        <v>59.06</v>
      </c>
      <c r="L194">
        <v>0.05</v>
      </c>
      <c r="M194">
        <v>783.56</v>
      </c>
      <c r="N194">
        <v>17.579999999999998</v>
      </c>
      <c r="O194">
        <v>217.16</v>
      </c>
      <c r="P194">
        <v>0.28999999999999998</v>
      </c>
    </row>
    <row r="195" spans="1:16" x14ac:dyDescent="0.35">
      <c r="A195" s="1">
        <v>40589</v>
      </c>
      <c r="B195" s="2">
        <v>8.3333333333333329E-2</v>
      </c>
      <c r="D195">
        <v>85</v>
      </c>
      <c r="E195">
        <v>0.1</v>
      </c>
      <c r="F195">
        <v>5.63</v>
      </c>
      <c r="G195">
        <v>10.37</v>
      </c>
      <c r="H195">
        <v>16</v>
      </c>
      <c r="I195">
        <v>0.57999999999999996</v>
      </c>
      <c r="J195">
        <v>8.4499999999999993</v>
      </c>
      <c r="K195">
        <v>40.85</v>
      </c>
      <c r="L195">
        <v>-0.04</v>
      </c>
      <c r="M195">
        <v>837.27</v>
      </c>
      <c r="N195">
        <v>16.46</v>
      </c>
      <c r="O195">
        <v>7.73</v>
      </c>
      <c r="P195">
        <v>0.41</v>
      </c>
    </row>
    <row r="196" spans="1:16" x14ac:dyDescent="0.35">
      <c r="A196" s="1">
        <v>40589</v>
      </c>
      <c r="B196" s="2">
        <v>0.125</v>
      </c>
      <c r="D196">
        <v>87.63</v>
      </c>
      <c r="E196">
        <v>0.11</v>
      </c>
      <c r="F196">
        <v>11.3</v>
      </c>
      <c r="G196">
        <v>8.8000000000000007</v>
      </c>
      <c r="H196">
        <v>20.100000000000001</v>
      </c>
      <c r="I196">
        <v>0.2</v>
      </c>
      <c r="J196">
        <v>13.38</v>
      </c>
      <c r="K196">
        <v>46.35</v>
      </c>
      <c r="L196">
        <v>0.17</v>
      </c>
      <c r="M196">
        <v>863.55</v>
      </c>
      <c r="N196">
        <v>16.309999999999999</v>
      </c>
      <c r="O196">
        <v>352.42</v>
      </c>
      <c r="P196">
        <v>0.37</v>
      </c>
    </row>
    <row r="197" spans="1:16" x14ac:dyDescent="0.35">
      <c r="A197" s="1">
        <v>40589</v>
      </c>
      <c r="B197" s="2">
        <v>0.16666666666666666</v>
      </c>
      <c r="D197">
        <v>85.46</v>
      </c>
      <c r="E197">
        <v>0.11</v>
      </c>
      <c r="F197">
        <v>11.74</v>
      </c>
      <c r="G197">
        <v>9.9499999999999993</v>
      </c>
      <c r="H197">
        <v>21.69</v>
      </c>
      <c r="I197">
        <v>0.21</v>
      </c>
      <c r="J197">
        <v>14.05</v>
      </c>
      <c r="K197">
        <v>70.819999999999993</v>
      </c>
      <c r="L197">
        <v>0.37</v>
      </c>
      <c r="M197">
        <v>842</v>
      </c>
      <c r="N197">
        <v>17.239999999999998</v>
      </c>
      <c r="O197">
        <v>336.56</v>
      </c>
      <c r="P197">
        <v>0.22</v>
      </c>
    </row>
    <row r="198" spans="1:16" x14ac:dyDescent="0.35">
      <c r="A198" s="1">
        <v>40589</v>
      </c>
      <c r="B198" s="2">
        <v>0.20833333333333334</v>
      </c>
      <c r="D198">
        <v>81.319999999999993</v>
      </c>
      <c r="E198">
        <v>0.1</v>
      </c>
      <c r="F198">
        <v>6.4</v>
      </c>
      <c r="G198">
        <v>11.54</v>
      </c>
      <c r="H198">
        <v>17.940000000000001</v>
      </c>
      <c r="I198">
        <v>0.19</v>
      </c>
      <c r="J198">
        <v>10.52</v>
      </c>
      <c r="K198">
        <v>42.5</v>
      </c>
      <c r="L198">
        <v>0.37</v>
      </c>
      <c r="M198">
        <v>800.85</v>
      </c>
      <c r="N198">
        <v>17.63</v>
      </c>
      <c r="O198">
        <v>202.77</v>
      </c>
      <c r="P198">
        <v>0.48</v>
      </c>
    </row>
    <row r="199" spans="1:16" x14ac:dyDescent="0.35">
      <c r="A199" s="1">
        <v>40589</v>
      </c>
      <c r="B199" s="2">
        <v>0.25</v>
      </c>
      <c r="D199">
        <v>82.31</v>
      </c>
      <c r="E199">
        <v>0.1</v>
      </c>
      <c r="F199">
        <v>11.12</v>
      </c>
      <c r="G199">
        <v>11.08</v>
      </c>
      <c r="H199">
        <v>22.2</v>
      </c>
      <c r="I199">
        <v>0.19</v>
      </c>
      <c r="J199">
        <v>10.16</v>
      </c>
      <c r="K199">
        <v>76.33</v>
      </c>
      <c r="L199">
        <v>0.59</v>
      </c>
      <c r="M199">
        <v>810.36</v>
      </c>
      <c r="N199">
        <v>17.12</v>
      </c>
      <c r="O199">
        <v>156.74</v>
      </c>
      <c r="P199">
        <v>0.17</v>
      </c>
    </row>
    <row r="200" spans="1:16" x14ac:dyDescent="0.35">
      <c r="A200" s="1">
        <v>40589</v>
      </c>
      <c r="B200" s="2">
        <v>0.29166666666666669</v>
      </c>
      <c r="D200">
        <v>78.959999999999994</v>
      </c>
      <c r="E200">
        <v>0.13</v>
      </c>
      <c r="F200">
        <v>23.59</v>
      </c>
      <c r="G200">
        <v>11.98</v>
      </c>
      <c r="H200">
        <v>35.57</v>
      </c>
      <c r="I200">
        <v>0.6</v>
      </c>
      <c r="J200">
        <v>15.34</v>
      </c>
      <c r="K200">
        <v>62.65</v>
      </c>
      <c r="L200">
        <v>1.29</v>
      </c>
      <c r="M200">
        <v>777.3</v>
      </c>
      <c r="N200">
        <v>18.12</v>
      </c>
      <c r="O200">
        <v>212.94</v>
      </c>
      <c r="P200">
        <v>0.47</v>
      </c>
    </row>
    <row r="201" spans="1:16" x14ac:dyDescent="0.35">
      <c r="A201" s="1">
        <v>40589</v>
      </c>
      <c r="B201" s="2">
        <v>0.33333333333333331</v>
      </c>
      <c r="D201">
        <v>77.819999999999993</v>
      </c>
      <c r="E201">
        <v>0.14000000000000001</v>
      </c>
      <c r="F201">
        <v>26.18</v>
      </c>
      <c r="G201">
        <v>12.6</v>
      </c>
      <c r="H201">
        <v>38.78</v>
      </c>
      <c r="I201">
        <v>1.36</v>
      </c>
      <c r="J201">
        <v>21.96</v>
      </c>
      <c r="K201">
        <v>35.71</v>
      </c>
      <c r="L201">
        <v>1.94</v>
      </c>
      <c r="M201">
        <v>766.08</v>
      </c>
      <c r="N201">
        <v>19.21</v>
      </c>
      <c r="O201">
        <v>186.35</v>
      </c>
      <c r="P201">
        <v>1.02</v>
      </c>
    </row>
    <row r="202" spans="1:16" x14ac:dyDescent="0.35">
      <c r="A202" s="1">
        <v>40589</v>
      </c>
      <c r="B202" s="2">
        <v>0.375</v>
      </c>
      <c r="D202">
        <v>76.39</v>
      </c>
      <c r="E202">
        <v>0.17</v>
      </c>
      <c r="F202">
        <v>26.56</v>
      </c>
      <c r="G202">
        <v>13.52</v>
      </c>
      <c r="H202">
        <v>40.090000000000003</v>
      </c>
      <c r="I202">
        <v>3.49</v>
      </c>
      <c r="J202">
        <v>25.16</v>
      </c>
      <c r="K202">
        <v>55.17</v>
      </c>
      <c r="L202">
        <v>1.59</v>
      </c>
      <c r="M202">
        <v>752.49</v>
      </c>
      <c r="N202">
        <v>21.04</v>
      </c>
      <c r="O202">
        <v>208.44</v>
      </c>
      <c r="P202">
        <v>0.8</v>
      </c>
    </row>
    <row r="203" spans="1:16" x14ac:dyDescent="0.35">
      <c r="A203" s="1">
        <v>40589</v>
      </c>
      <c r="B203" s="2">
        <v>0.41666666666666669</v>
      </c>
      <c r="D203">
        <v>71.599999999999994</v>
      </c>
      <c r="E203">
        <v>0.17</v>
      </c>
      <c r="F203">
        <v>12.06</v>
      </c>
      <c r="G203">
        <v>12.89</v>
      </c>
      <c r="H203">
        <v>24.94</v>
      </c>
      <c r="I203">
        <v>7.58</v>
      </c>
      <c r="J203">
        <v>22.49</v>
      </c>
      <c r="K203">
        <v>34.07</v>
      </c>
      <c r="L203">
        <v>1.46</v>
      </c>
      <c r="M203">
        <v>704.22</v>
      </c>
      <c r="N203">
        <v>22.19</v>
      </c>
      <c r="O203">
        <v>129.13999999999999</v>
      </c>
      <c r="P203">
        <v>1.54</v>
      </c>
    </row>
    <row r="204" spans="1:16" x14ac:dyDescent="0.35">
      <c r="A204" s="1">
        <v>40589</v>
      </c>
      <c r="B204" s="2">
        <v>0.45833333333333331</v>
      </c>
      <c r="D204">
        <v>72.33</v>
      </c>
      <c r="E204">
        <v>0.16</v>
      </c>
      <c r="F204">
        <v>4.34</v>
      </c>
      <c r="G204">
        <v>10.16</v>
      </c>
      <c r="H204">
        <v>14.5</v>
      </c>
      <c r="I204">
        <v>8.93</v>
      </c>
      <c r="J204">
        <v>20.8</v>
      </c>
      <c r="K204">
        <v>28.38</v>
      </c>
      <c r="L204">
        <v>1.2</v>
      </c>
      <c r="M204">
        <v>710.94</v>
      </c>
      <c r="N204">
        <v>22.22</v>
      </c>
      <c r="O204">
        <v>128.55000000000001</v>
      </c>
      <c r="P204">
        <v>1.77</v>
      </c>
    </row>
    <row r="205" spans="1:16" x14ac:dyDescent="0.35">
      <c r="A205" s="1">
        <v>40589</v>
      </c>
      <c r="B205" s="2">
        <v>0.5</v>
      </c>
      <c r="D205">
        <v>67.260000000000005</v>
      </c>
      <c r="E205">
        <v>0.15</v>
      </c>
      <c r="F205">
        <v>1.94</v>
      </c>
      <c r="G205">
        <v>6.28</v>
      </c>
      <c r="H205">
        <v>8.2200000000000006</v>
      </c>
      <c r="I205">
        <v>12.13</v>
      </c>
      <c r="J205">
        <v>17.04</v>
      </c>
      <c r="K205">
        <v>27.01</v>
      </c>
      <c r="L205">
        <v>0.08</v>
      </c>
      <c r="M205">
        <v>660.62</v>
      </c>
      <c r="N205">
        <v>22.99</v>
      </c>
      <c r="O205">
        <v>104.58</v>
      </c>
      <c r="P205">
        <v>1.96</v>
      </c>
    </row>
    <row r="206" spans="1:16" x14ac:dyDescent="0.35">
      <c r="A206" s="1">
        <v>40589</v>
      </c>
      <c r="B206" s="2">
        <v>0.54166666666666663</v>
      </c>
      <c r="D206">
        <v>58.5</v>
      </c>
      <c r="E206">
        <v>0.12</v>
      </c>
      <c r="F206">
        <v>0.27</v>
      </c>
      <c r="G206">
        <v>3.41</v>
      </c>
      <c r="H206">
        <v>3.68</v>
      </c>
      <c r="I206">
        <v>15.59</v>
      </c>
      <c r="J206">
        <v>13.71</v>
      </c>
      <c r="K206">
        <v>26.41</v>
      </c>
      <c r="L206">
        <v>-0.14000000000000001</v>
      </c>
      <c r="M206">
        <v>573.75</v>
      </c>
      <c r="N206">
        <v>24.24</v>
      </c>
      <c r="O206">
        <v>111.1</v>
      </c>
      <c r="P206">
        <v>2.2200000000000002</v>
      </c>
    </row>
    <row r="207" spans="1:16" x14ac:dyDescent="0.35">
      <c r="A207" s="1">
        <v>40589</v>
      </c>
      <c r="B207" s="2">
        <v>0.58333333333333337</v>
      </c>
      <c r="D207">
        <v>58.11</v>
      </c>
      <c r="E207">
        <v>0.1</v>
      </c>
      <c r="F207">
        <v>0.51</v>
      </c>
      <c r="G207">
        <v>3.77</v>
      </c>
      <c r="H207">
        <v>4.2699999999999996</v>
      </c>
      <c r="I207">
        <v>16.23</v>
      </c>
      <c r="J207">
        <v>16.28</v>
      </c>
      <c r="K207">
        <v>24.51</v>
      </c>
      <c r="L207">
        <v>-0.28000000000000003</v>
      </c>
      <c r="M207">
        <v>570.03</v>
      </c>
      <c r="N207">
        <v>24.28</v>
      </c>
      <c r="O207">
        <v>119.68</v>
      </c>
      <c r="P207">
        <v>2.85</v>
      </c>
    </row>
    <row r="208" spans="1:16" x14ac:dyDescent="0.35">
      <c r="A208" s="1">
        <v>40589</v>
      </c>
      <c r="B208" s="2">
        <v>0.625</v>
      </c>
      <c r="D208">
        <v>49.92</v>
      </c>
      <c r="E208">
        <v>7.0000000000000007E-2</v>
      </c>
      <c r="F208">
        <v>0.55000000000000004</v>
      </c>
      <c r="G208">
        <v>3.1</v>
      </c>
      <c r="H208">
        <v>3.66</v>
      </c>
      <c r="I208">
        <v>17.88</v>
      </c>
      <c r="J208">
        <v>11.4</v>
      </c>
      <c r="K208">
        <v>28.56</v>
      </c>
      <c r="L208">
        <v>-0.05</v>
      </c>
      <c r="M208">
        <v>488.92</v>
      </c>
      <c r="N208">
        <v>25.01</v>
      </c>
      <c r="O208">
        <v>110.37</v>
      </c>
      <c r="P208">
        <v>2.62</v>
      </c>
    </row>
    <row r="209" spans="1:16" x14ac:dyDescent="0.35">
      <c r="A209" s="1">
        <v>40589</v>
      </c>
      <c r="B209" s="2">
        <v>0.66666666666666663</v>
      </c>
      <c r="D209">
        <v>49.93</v>
      </c>
      <c r="E209">
        <v>0.06</v>
      </c>
      <c r="F209">
        <v>0.55000000000000004</v>
      </c>
      <c r="G209">
        <v>4.57</v>
      </c>
      <c r="H209">
        <v>5.12</v>
      </c>
      <c r="I209">
        <v>16.5</v>
      </c>
      <c r="J209">
        <v>10.35</v>
      </c>
      <c r="K209">
        <v>25.67</v>
      </c>
      <c r="L209">
        <v>-0.01</v>
      </c>
      <c r="M209">
        <v>488.54</v>
      </c>
      <c r="N209">
        <v>24.54</v>
      </c>
      <c r="O209">
        <v>111.98</v>
      </c>
      <c r="P209">
        <v>2.35</v>
      </c>
    </row>
    <row r="210" spans="1:16" x14ac:dyDescent="0.35">
      <c r="A210" s="1">
        <v>40589</v>
      </c>
      <c r="B210" s="2">
        <v>0.70833333333333337</v>
      </c>
      <c r="D210">
        <v>52.7</v>
      </c>
      <c r="E210">
        <v>0.06</v>
      </c>
      <c r="F210">
        <v>1.26</v>
      </c>
      <c r="G210">
        <v>5.56</v>
      </c>
      <c r="H210">
        <v>6.82</v>
      </c>
      <c r="I210">
        <v>14.72</v>
      </c>
      <c r="J210">
        <v>11.63</v>
      </c>
      <c r="K210">
        <v>24.26</v>
      </c>
      <c r="L210">
        <v>-0.11</v>
      </c>
      <c r="M210">
        <v>515.77</v>
      </c>
      <c r="N210">
        <v>24.13</v>
      </c>
      <c r="O210">
        <v>104.02</v>
      </c>
      <c r="P210">
        <v>2.42</v>
      </c>
    </row>
    <row r="211" spans="1:16" x14ac:dyDescent="0.35">
      <c r="A211" s="1">
        <v>40589</v>
      </c>
      <c r="B211" s="2">
        <v>0.75</v>
      </c>
      <c r="D211">
        <v>56.88</v>
      </c>
      <c r="E211">
        <v>0.08</v>
      </c>
      <c r="F211">
        <v>1.05</v>
      </c>
      <c r="G211">
        <v>7.18</v>
      </c>
      <c r="H211">
        <v>8.23</v>
      </c>
      <c r="I211">
        <v>11.75</v>
      </c>
      <c r="J211">
        <v>15.36</v>
      </c>
      <c r="K211">
        <v>25.37</v>
      </c>
      <c r="L211">
        <v>0.2</v>
      </c>
      <c r="M211">
        <v>556.98</v>
      </c>
      <c r="N211">
        <v>23.32</v>
      </c>
      <c r="O211">
        <v>122.14</v>
      </c>
      <c r="P211">
        <v>1.98</v>
      </c>
    </row>
    <row r="212" spans="1:16" x14ac:dyDescent="0.35">
      <c r="A212" s="1">
        <v>40589</v>
      </c>
      <c r="B212" s="2">
        <v>0.79166666666666663</v>
      </c>
      <c r="D212">
        <v>61.79</v>
      </c>
      <c r="E212">
        <v>0.09</v>
      </c>
      <c r="F212">
        <v>-0.18</v>
      </c>
      <c r="G212">
        <v>8.24</v>
      </c>
      <c r="H212">
        <v>8.06</v>
      </c>
      <c r="I212">
        <v>9.0299999999999994</v>
      </c>
      <c r="J212">
        <v>16</v>
      </c>
      <c r="K212">
        <v>18.96</v>
      </c>
      <c r="L212">
        <v>1.19</v>
      </c>
      <c r="M212">
        <v>606.04</v>
      </c>
      <c r="N212">
        <v>22.21</v>
      </c>
      <c r="O212">
        <v>136.97</v>
      </c>
      <c r="P212">
        <v>1.97</v>
      </c>
    </row>
    <row r="213" spans="1:16" x14ac:dyDescent="0.35">
      <c r="A213" s="1">
        <v>40589</v>
      </c>
      <c r="B213" s="2">
        <v>0.83333333333333337</v>
      </c>
      <c r="D213">
        <v>65.22</v>
      </c>
      <c r="E213">
        <v>0.1</v>
      </c>
      <c r="F213">
        <v>-0.26</v>
      </c>
      <c r="G213">
        <v>10.4</v>
      </c>
      <c r="H213">
        <v>10.130000000000001</v>
      </c>
      <c r="I213">
        <v>5.79</v>
      </c>
      <c r="J213">
        <v>14.38</v>
      </c>
      <c r="K213">
        <v>20.440000000000001</v>
      </c>
      <c r="L213">
        <v>0.57999999999999996</v>
      </c>
      <c r="M213">
        <v>640.04</v>
      </c>
      <c r="N213">
        <v>21.56</v>
      </c>
      <c r="O213">
        <v>142.22</v>
      </c>
      <c r="P213">
        <v>1.7</v>
      </c>
    </row>
    <row r="214" spans="1:16" x14ac:dyDescent="0.35">
      <c r="A214" s="1">
        <v>40589</v>
      </c>
      <c r="B214" s="2">
        <v>0.875</v>
      </c>
      <c r="D214">
        <v>66.94</v>
      </c>
      <c r="E214">
        <v>0.12</v>
      </c>
      <c r="F214">
        <v>1.85</v>
      </c>
      <c r="G214">
        <v>14.1</v>
      </c>
      <c r="H214">
        <v>15.96</v>
      </c>
      <c r="I214">
        <v>2.4</v>
      </c>
      <c r="J214">
        <v>12.2</v>
      </c>
      <c r="K214">
        <v>29.53</v>
      </c>
      <c r="L214">
        <v>-7.0000000000000007E-2</v>
      </c>
      <c r="M214">
        <v>657.18</v>
      </c>
      <c r="N214">
        <v>21.09</v>
      </c>
      <c r="O214">
        <v>180.38</v>
      </c>
      <c r="P214">
        <v>0.89</v>
      </c>
    </row>
    <row r="215" spans="1:16" x14ac:dyDescent="0.35">
      <c r="A215" s="1">
        <v>40589</v>
      </c>
      <c r="B215" s="2">
        <v>0.91666666666666663</v>
      </c>
      <c r="D215">
        <v>71.150000000000006</v>
      </c>
      <c r="E215">
        <v>0.12</v>
      </c>
      <c r="F215">
        <v>3</v>
      </c>
      <c r="G215">
        <v>14.37</v>
      </c>
      <c r="H215">
        <v>17.38</v>
      </c>
      <c r="I215">
        <v>0.59</v>
      </c>
      <c r="J215">
        <v>12.51</v>
      </c>
      <c r="K215">
        <v>22.98</v>
      </c>
      <c r="L215">
        <v>-0.09</v>
      </c>
      <c r="M215">
        <v>698.99</v>
      </c>
      <c r="N215">
        <v>20.48</v>
      </c>
      <c r="O215">
        <v>209.38</v>
      </c>
      <c r="P215">
        <v>0.55000000000000004</v>
      </c>
    </row>
    <row r="216" spans="1:16" x14ac:dyDescent="0.35">
      <c r="A216" s="1">
        <v>40589</v>
      </c>
      <c r="B216" s="2">
        <v>0.95833333333333337</v>
      </c>
      <c r="D216">
        <v>75.58</v>
      </c>
      <c r="E216">
        <v>0.12</v>
      </c>
      <c r="F216">
        <v>4.1100000000000003</v>
      </c>
      <c r="G216">
        <v>14.37</v>
      </c>
      <c r="H216">
        <v>18.48</v>
      </c>
      <c r="I216">
        <v>0.27</v>
      </c>
      <c r="J216">
        <v>15.62</v>
      </c>
      <c r="K216">
        <v>35.479999999999997</v>
      </c>
      <c r="L216">
        <v>-0.03</v>
      </c>
      <c r="M216">
        <v>743.16</v>
      </c>
      <c r="N216">
        <v>20.010000000000002</v>
      </c>
      <c r="O216">
        <v>214.03</v>
      </c>
      <c r="P216">
        <v>0.42</v>
      </c>
    </row>
    <row r="217" spans="1:16" x14ac:dyDescent="0.35">
      <c r="A217" s="1">
        <v>40589</v>
      </c>
      <c r="B217" s="18">
        <v>0</v>
      </c>
      <c r="D217">
        <v>89.03</v>
      </c>
      <c r="E217">
        <v>0.13</v>
      </c>
      <c r="F217">
        <v>9.99</v>
      </c>
      <c r="G217">
        <v>12.76</v>
      </c>
      <c r="H217">
        <v>22.74</v>
      </c>
      <c r="I217">
        <v>0.15</v>
      </c>
      <c r="J217">
        <v>16.3</v>
      </c>
      <c r="K217">
        <v>75.19</v>
      </c>
      <c r="L217">
        <v>-0.04</v>
      </c>
      <c r="M217">
        <v>877.44</v>
      </c>
      <c r="N217">
        <v>18.690000000000001</v>
      </c>
      <c r="O217">
        <v>293.57</v>
      </c>
      <c r="P217">
        <v>0.17</v>
      </c>
    </row>
    <row r="218" spans="1:16" x14ac:dyDescent="0.35">
      <c r="A218" s="1">
        <v>40590</v>
      </c>
      <c r="B218" s="2">
        <v>4.1666666666666664E-2</v>
      </c>
      <c r="D218">
        <v>89.67</v>
      </c>
      <c r="E218">
        <v>0.15</v>
      </c>
      <c r="F218">
        <v>6.94</v>
      </c>
      <c r="G218">
        <v>12.29</v>
      </c>
      <c r="H218">
        <v>19.23</v>
      </c>
      <c r="I218">
        <v>0.27</v>
      </c>
      <c r="J218">
        <v>11.32</v>
      </c>
      <c r="K218">
        <v>85.67</v>
      </c>
      <c r="L218">
        <v>0.09</v>
      </c>
      <c r="M218">
        <v>884.12</v>
      </c>
      <c r="N218">
        <v>18.47</v>
      </c>
      <c r="O218">
        <v>298.10000000000002</v>
      </c>
      <c r="P218">
        <v>0.15</v>
      </c>
    </row>
    <row r="219" spans="1:16" x14ac:dyDescent="0.35">
      <c r="A219" s="1">
        <v>40590</v>
      </c>
      <c r="B219" s="2">
        <v>8.3333333333333329E-2</v>
      </c>
      <c r="D219">
        <v>85.28</v>
      </c>
      <c r="E219">
        <v>0.21</v>
      </c>
      <c r="F219">
        <v>0.33</v>
      </c>
      <c r="G219">
        <v>10.88</v>
      </c>
      <c r="H219">
        <v>11.21</v>
      </c>
      <c r="I219">
        <v>1.43</v>
      </c>
      <c r="J219">
        <v>9.49</v>
      </c>
      <c r="K219">
        <v>54.56</v>
      </c>
      <c r="L219">
        <v>0.12</v>
      </c>
      <c r="M219">
        <v>840.38</v>
      </c>
      <c r="N219">
        <v>18.87</v>
      </c>
      <c r="O219">
        <v>214.64</v>
      </c>
      <c r="P219">
        <v>0.53</v>
      </c>
    </row>
    <row r="220" spans="1:16" x14ac:dyDescent="0.35">
      <c r="A220" s="1">
        <v>40590</v>
      </c>
      <c r="B220" s="2">
        <v>0.125</v>
      </c>
      <c r="D220">
        <v>82.58</v>
      </c>
      <c r="E220">
        <v>0.12</v>
      </c>
      <c r="F220">
        <v>-0.59</v>
      </c>
      <c r="G220">
        <v>9.74</v>
      </c>
      <c r="H220">
        <v>9.15</v>
      </c>
      <c r="I220">
        <v>2.44</v>
      </c>
      <c r="J220">
        <v>9.1999999999999993</v>
      </c>
      <c r="K220">
        <v>70.55</v>
      </c>
      <c r="L220">
        <v>0.08</v>
      </c>
      <c r="M220">
        <v>813.44</v>
      </c>
      <c r="N220">
        <v>19</v>
      </c>
      <c r="O220">
        <v>183.8</v>
      </c>
      <c r="P220">
        <v>0.37</v>
      </c>
    </row>
    <row r="221" spans="1:16" x14ac:dyDescent="0.35">
      <c r="A221" s="1">
        <v>40590</v>
      </c>
      <c r="B221" s="2">
        <v>0.16666666666666666</v>
      </c>
      <c r="D221">
        <v>83.56</v>
      </c>
      <c r="E221">
        <v>0.11</v>
      </c>
      <c r="F221">
        <v>0.16</v>
      </c>
      <c r="G221">
        <v>10.81</v>
      </c>
      <c r="H221">
        <v>10.98</v>
      </c>
      <c r="I221">
        <v>0.63</v>
      </c>
      <c r="J221">
        <v>11.72</v>
      </c>
      <c r="K221">
        <v>90.39</v>
      </c>
      <c r="L221">
        <v>0.34</v>
      </c>
      <c r="M221">
        <v>823.05</v>
      </c>
      <c r="N221">
        <v>18.920000000000002</v>
      </c>
      <c r="O221">
        <v>224.02</v>
      </c>
      <c r="P221">
        <v>0.09</v>
      </c>
    </row>
    <row r="222" spans="1:16" x14ac:dyDescent="0.35">
      <c r="A222" s="1">
        <v>40590</v>
      </c>
      <c r="B222" s="2">
        <v>0.20833333333333334</v>
      </c>
      <c r="D222">
        <v>86.26</v>
      </c>
      <c r="E222">
        <v>0.12</v>
      </c>
      <c r="F222">
        <v>9.14</v>
      </c>
      <c r="G222">
        <v>10.48</v>
      </c>
      <c r="H222">
        <v>19.62</v>
      </c>
      <c r="I222">
        <v>0.14000000000000001</v>
      </c>
      <c r="J222">
        <v>12.47</v>
      </c>
      <c r="K222">
        <v>55.9</v>
      </c>
      <c r="L222">
        <v>0.33</v>
      </c>
      <c r="M222">
        <v>850.11</v>
      </c>
      <c r="N222">
        <v>18.66</v>
      </c>
      <c r="O222">
        <v>319.35000000000002</v>
      </c>
      <c r="P222">
        <v>0.27</v>
      </c>
    </row>
    <row r="223" spans="1:16" x14ac:dyDescent="0.35">
      <c r="A223" s="1">
        <v>40590</v>
      </c>
      <c r="B223" s="2">
        <v>0.25</v>
      </c>
      <c r="D223">
        <v>84.99</v>
      </c>
      <c r="E223">
        <v>0.18</v>
      </c>
      <c r="F223">
        <v>51.1</v>
      </c>
      <c r="G223">
        <v>14.24</v>
      </c>
      <c r="H223">
        <v>65.349999999999994</v>
      </c>
      <c r="I223">
        <v>0.21</v>
      </c>
      <c r="J223">
        <v>20.71</v>
      </c>
      <c r="K223">
        <v>27.24</v>
      </c>
      <c r="L223">
        <v>0.88</v>
      </c>
      <c r="M223">
        <v>837.48</v>
      </c>
      <c r="N223">
        <v>18.88</v>
      </c>
      <c r="O223">
        <v>328.67</v>
      </c>
      <c r="P223">
        <v>0.52</v>
      </c>
    </row>
    <row r="224" spans="1:16" x14ac:dyDescent="0.35">
      <c r="A224" s="1">
        <v>40590</v>
      </c>
      <c r="B224" s="2">
        <v>0.29166666666666669</v>
      </c>
      <c r="D224">
        <v>84.82</v>
      </c>
      <c r="E224">
        <v>0.22</v>
      </c>
      <c r="F224">
        <v>70.97</v>
      </c>
      <c r="G224">
        <v>13.44</v>
      </c>
      <c r="H224">
        <v>84.41</v>
      </c>
      <c r="I224">
        <v>0.31</v>
      </c>
      <c r="J224">
        <v>24.64</v>
      </c>
      <c r="K224">
        <v>38.049999999999997</v>
      </c>
      <c r="L224">
        <v>1.72</v>
      </c>
      <c r="M224">
        <v>835.89</v>
      </c>
      <c r="N224">
        <v>19.27</v>
      </c>
      <c r="O224">
        <v>314.64999999999998</v>
      </c>
      <c r="P224">
        <v>0.46</v>
      </c>
    </row>
    <row r="225" spans="1:16" x14ac:dyDescent="0.35">
      <c r="A225" s="1">
        <v>40590</v>
      </c>
      <c r="B225" s="2">
        <v>0.33333333333333331</v>
      </c>
      <c r="D225">
        <v>77.47</v>
      </c>
      <c r="E225">
        <v>0.23</v>
      </c>
      <c r="F225">
        <v>55.23</v>
      </c>
      <c r="G225">
        <v>14.66</v>
      </c>
      <c r="H225">
        <v>69.89</v>
      </c>
      <c r="I225">
        <v>0.77</v>
      </c>
      <c r="J225">
        <v>25.65</v>
      </c>
      <c r="K225">
        <v>56.78</v>
      </c>
      <c r="L225">
        <v>2.15</v>
      </c>
      <c r="M225">
        <v>762.83</v>
      </c>
      <c r="N225">
        <v>20.74</v>
      </c>
      <c r="O225">
        <v>288.58999999999997</v>
      </c>
      <c r="P225">
        <v>0.33</v>
      </c>
    </row>
    <row r="226" spans="1:16" x14ac:dyDescent="0.35">
      <c r="A226" s="1">
        <v>40590</v>
      </c>
      <c r="B226" s="2">
        <v>0.375</v>
      </c>
      <c r="D226">
        <v>71.95</v>
      </c>
      <c r="E226">
        <v>0.17</v>
      </c>
      <c r="F226">
        <v>13.81</v>
      </c>
      <c r="G226">
        <v>10.49</v>
      </c>
      <c r="H226">
        <v>24.3</v>
      </c>
      <c r="I226">
        <v>3.94</v>
      </c>
      <c r="J226">
        <v>21.39</v>
      </c>
      <c r="K226">
        <v>58.25</v>
      </c>
      <c r="L226">
        <v>1.58</v>
      </c>
      <c r="M226">
        <v>708.48</v>
      </c>
      <c r="N226">
        <v>22.24</v>
      </c>
      <c r="O226">
        <v>189.1</v>
      </c>
      <c r="P226">
        <v>0.67</v>
      </c>
    </row>
    <row r="227" spans="1:16" x14ac:dyDescent="0.35">
      <c r="A227" s="1">
        <v>40590</v>
      </c>
      <c r="B227" s="2">
        <v>0.41666666666666669</v>
      </c>
      <c r="D227">
        <v>68.02</v>
      </c>
      <c r="E227">
        <v>0.16</v>
      </c>
      <c r="F227">
        <v>11.78</v>
      </c>
      <c r="G227">
        <v>10.56</v>
      </c>
      <c r="H227">
        <v>22.34</v>
      </c>
      <c r="I227">
        <v>7.01</v>
      </c>
      <c r="J227">
        <v>18.09</v>
      </c>
      <c r="K227">
        <v>70.13</v>
      </c>
      <c r="L227">
        <v>1.2</v>
      </c>
      <c r="M227">
        <v>669.45</v>
      </c>
      <c r="N227">
        <v>23.63</v>
      </c>
      <c r="O227">
        <v>244.99</v>
      </c>
      <c r="P227">
        <v>0.42</v>
      </c>
    </row>
    <row r="228" spans="1:16" x14ac:dyDescent="0.35">
      <c r="A228" s="1">
        <v>40590</v>
      </c>
      <c r="B228" s="2">
        <v>0.45833333333333331</v>
      </c>
      <c r="D228">
        <v>61.7</v>
      </c>
      <c r="E228">
        <v>0.18</v>
      </c>
      <c r="F228">
        <v>8.49</v>
      </c>
      <c r="G228">
        <v>10.199999999999999</v>
      </c>
      <c r="H228">
        <v>18.68</v>
      </c>
      <c r="I228">
        <v>11.88</v>
      </c>
      <c r="J228">
        <v>17.02</v>
      </c>
      <c r="K228">
        <v>103.74</v>
      </c>
      <c r="L228">
        <v>1.48</v>
      </c>
      <c r="M228">
        <v>606.75</v>
      </c>
      <c r="N228">
        <v>24.72</v>
      </c>
      <c r="O228">
        <v>140.43</v>
      </c>
      <c r="P228">
        <v>0.37</v>
      </c>
    </row>
    <row r="229" spans="1:16" x14ac:dyDescent="0.35">
      <c r="A229" s="1">
        <v>40590</v>
      </c>
      <c r="B229" s="2">
        <v>0.5</v>
      </c>
      <c r="D229">
        <v>56.62</v>
      </c>
      <c r="E229">
        <v>0.21</v>
      </c>
      <c r="F229">
        <v>4.95</v>
      </c>
      <c r="G229">
        <v>11.53</v>
      </c>
      <c r="H229">
        <v>16.48</v>
      </c>
      <c r="I229">
        <v>17.66</v>
      </c>
      <c r="J229">
        <v>21.93</v>
      </c>
      <c r="K229">
        <v>84.55</v>
      </c>
      <c r="L229">
        <v>1.93</v>
      </c>
      <c r="M229">
        <v>556.16</v>
      </c>
      <c r="N229">
        <v>26.07</v>
      </c>
      <c r="O229">
        <v>94.9</v>
      </c>
      <c r="P229">
        <v>0.42</v>
      </c>
    </row>
    <row r="230" spans="1:16" x14ac:dyDescent="0.35">
      <c r="A230" s="1">
        <v>40590</v>
      </c>
      <c r="B230" s="2">
        <v>0.54166666666666663</v>
      </c>
      <c r="D230">
        <v>55.25</v>
      </c>
      <c r="E230">
        <v>0.18</v>
      </c>
      <c r="F230">
        <v>2.96</v>
      </c>
      <c r="G230">
        <v>12.35</v>
      </c>
      <c r="H230">
        <v>15.31</v>
      </c>
      <c r="I230">
        <v>22.35</v>
      </c>
      <c r="J230">
        <v>18.13</v>
      </c>
      <c r="K230">
        <v>77.930000000000007</v>
      </c>
      <c r="L230">
        <v>1.47</v>
      </c>
      <c r="M230">
        <v>541.19000000000005</v>
      </c>
      <c r="N230">
        <v>26.66</v>
      </c>
      <c r="O230">
        <v>101.72</v>
      </c>
      <c r="P230">
        <v>0.47</v>
      </c>
    </row>
    <row r="231" spans="1:16" x14ac:dyDescent="0.35">
      <c r="A231" s="1">
        <v>40590</v>
      </c>
      <c r="B231" s="2">
        <v>0.58333333333333337</v>
      </c>
      <c r="D231">
        <v>56.35</v>
      </c>
      <c r="E231">
        <v>0.16</v>
      </c>
      <c r="F231">
        <v>1.65</v>
      </c>
      <c r="G231">
        <v>9.98</v>
      </c>
      <c r="H231">
        <v>11.63</v>
      </c>
      <c r="I231">
        <v>31.01</v>
      </c>
      <c r="J231">
        <v>18.260000000000002</v>
      </c>
      <c r="K231">
        <v>73.81</v>
      </c>
      <c r="L231">
        <v>0.82</v>
      </c>
      <c r="M231">
        <v>552.11</v>
      </c>
      <c r="N231">
        <v>26.77</v>
      </c>
      <c r="O231">
        <v>78.63</v>
      </c>
      <c r="P231">
        <v>0.78</v>
      </c>
    </row>
    <row r="232" spans="1:16" x14ac:dyDescent="0.35">
      <c r="A232" s="1">
        <v>40590</v>
      </c>
      <c r="B232" s="2">
        <v>0.625</v>
      </c>
      <c r="D232">
        <v>65.5</v>
      </c>
      <c r="E232">
        <v>0.15</v>
      </c>
      <c r="F232">
        <v>-0.45</v>
      </c>
      <c r="G232">
        <v>10.85</v>
      </c>
      <c r="H232">
        <v>10.41</v>
      </c>
      <c r="I232">
        <v>25.84</v>
      </c>
      <c r="J232">
        <v>25.8</v>
      </c>
      <c r="K232">
        <v>27.94</v>
      </c>
      <c r="L232">
        <v>0.38</v>
      </c>
      <c r="M232">
        <v>642.98</v>
      </c>
      <c r="N232">
        <v>25.36</v>
      </c>
      <c r="O232">
        <v>94.8</v>
      </c>
      <c r="P232">
        <v>1.84</v>
      </c>
    </row>
    <row r="233" spans="1:16" x14ac:dyDescent="0.35">
      <c r="A233" s="1">
        <v>40590</v>
      </c>
      <c r="B233" s="2">
        <v>0.66666666666666663</v>
      </c>
      <c r="D233">
        <v>66.23</v>
      </c>
      <c r="E233">
        <v>0.12</v>
      </c>
      <c r="F233">
        <v>-0.01</v>
      </c>
      <c r="G233">
        <v>7.35</v>
      </c>
      <c r="H233">
        <v>7.34</v>
      </c>
      <c r="I233">
        <v>21</v>
      </c>
      <c r="J233">
        <v>15.4</v>
      </c>
      <c r="K233">
        <v>31.92</v>
      </c>
      <c r="L233">
        <v>-0.03</v>
      </c>
      <c r="M233">
        <v>650.41</v>
      </c>
      <c r="N233">
        <v>25.36</v>
      </c>
      <c r="O233">
        <v>78.28</v>
      </c>
      <c r="P233">
        <v>1.75</v>
      </c>
    </row>
    <row r="234" spans="1:16" x14ac:dyDescent="0.35">
      <c r="A234" s="1">
        <v>40590</v>
      </c>
      <c r="B234" s="2">
        <v>0.70833333333333337</v>
      </c>
      <c r="D234">
        <v>64.75</v>
      </c>
      <c r="E234">
        <v>0.14000000000000001</v>
      </c>
      <c r="F234">
        <v>-0.04</v>
      </c>
      <c r="G234">
        <v>8.39</v>
      </c>
      <c r="H234">
        <v>8.36</v>
      </c>
      <c r="I234">
        <v>24</v>
      </c>
      <c r="J234">
        <v>14.84</v>
      </c>
      <c r="K234">
        <v>32.32</v>
      </c>
      <c r="L234">
        <v>-0.05</v>
      </c>
      <c r="M234">
        <v>635.67999999999995</v>
      </c>
      <c r="N234">
        <v>25.39</v>
      </c>
      <c r="O234">
        <v>74.33</v>
      </c>
      <c r="P234">
        <v>1.68</v>
      </c>
    </row>
    <row r="235" spans="1:16" x14ac:dyDescent="0.35">
      <c r="A235" s="1">
        <v>40590</v>
      </c>
      <c r="B235" s="2">
        <v>0.75</v>
      </c>
      <c r="D235">
        <v>67.62</v>
      </c>
      <c r="E235">
        <v>0.16</v>
      </c>
      <c r="F235">
        <v>-0.43</v>
      </c>
      <c r="G235">
        <v>8.4</v>
      </c>
      <c r="H235">
        <v>7.98</v>
      </c>
      <c r="I235">
        <v>18.350000000000001</v>
      </c>
      <c r="J235">
        <v>15.01</v>
      </c>
      <c r="K235">
        <v>41.68</v>
      </c>
      <c r="L235">
        <v>0.08</v>
      </c>
      <c r="M235">
        <v>663.86</v>
      </c>
      <c r="N235">
        <v>24.84</v>
      </c>
      <c r="O235">
        <v>73.08</v>
      </c>
      <c r="P235">
        <v>1.05</v>
      </c>
    </row>
    <row r="236" spans="1:16" x14ac:dyDescent="0.35">
      <c r="A236" s="1">
        <v>40590</v>
      </c>
      <c r="B236" s="2">
        <v>0.79166666666666663</v>
      </c>
      <c r="D236">
        <v>74.89</v>
      </c>
      <c r="E236">
        <v>0.14000000000000001</v>
      </c>
      <c r="F236">
        <v>-0.41</v>
      </c>
      <c r="G236">
        <v>9.59</v>
      </c>
      <c r="H236">
        <v>9.18</v>
      </c>
      <c r="I236">
        <v>9.16</v>
      </c>
      <c r="J236">
        <v>15.48</v>
      </c>
      <c r="K236">
        <v>25.61</v>
      </c>
      <c r="L236">
        <v>0.06</v>
      </c>
      <c r="M236">
        <v>735.17</v>
      </c>
      <c r="N236">
        <v>23.93</v>
      </c>
      <c r="O236">
        <v>88.67</v>
      </c>
      <c r="P236">
        <v>1.63</v>
      </c>
    </row>
    <row r="237" spans="1:16" x14ac:dyDescent="0.35">
      <c r="A237" s="1">
        <v>40590</v>
      </c>
      <c r="B237" s="2">
        <v>0.83333333333333337</v>
      </c>
      <c r="D237">
        <v>80.34</v>
      </c>
      <c r="E237">
        <v>0.12</v>
      </c>
      <c r="F237">
        <v>-0.25</v>
      </c>
      <c r="G237">
        <v>7.94</v>
      </c>
      <c r="H237">
        <v>7.7</v>
      </c>
      <c r="I237">
        <v>8.56</v>
      </c>
      <c r="J237">
        <v>9.9600000000000009</v>
      </c>
      <c r="K237">
        <v>43.82</v>
      </c>
      <c r="L237">
        <v>0.02</v>
      </c>
      <c r="M237">
        <v>790.61</v>
      </c>
      <c r="N237">
        <v>23.04</v>
      </c>
      <c r="O237">
        <v>60.41</v>
      </c>
      <c r="P237">
        <v>1.36</v>
      </c>
    </row>
    <row r="238" spans="1:16" x14ac:dyDescent="0.35">
      <c r="A238" s="1">
        <v>40590</v>
      </c>
      <c r="B238" s="2">
        <v>0.875</v>
      </c>
      <c r="D238">
        <v>81.86</v>
      </c>
      <c r="E238">
        <v>0.11</v>
      </c>
      <c r="F238">
        <v>-0.53</v>
      </c>
      <c r="G238">
        <v>7.48</v>
      </c>
      <c r="H238">
        <v>6.94</v>
      </c>
      <c r="I238">
        <v>7.78</v>
      </c>
      <c r="J238">
        <v>9.16</v>
      </c>
      <c r="K238">
        <v>78.64</v>
      </c>
      <c r="L238">
        <v>0.08</v>
      </c>
      <c r="M238">
        <v>806.11</v>
      </c>
      <c r="N238">
        <v>22.7</v>
      </c>
      <c r="O238">
        <v>346.3</v>
      </c>
      <c r="P238">
        <v>0.26</v>
      </c>
    </row>
    <row r="239" spans="1:16" x14ac:dyDescent="0.35">
      <c r="A239" s="1">
        <v>40590</v>
      </c>
      <c r="B239" s="2">
        <v>0.91666666666666663</v>
      </c>
      <c r="D239">
        <v>82.76</v>
      </c>
      <c r="E239">
        <v>0.1</v>
      </c>
      <c r="F239">
        <v>-1.05</v>
      </c>
      <c r="G239">
        <v>5.91</v>
      </c>
      <c r="H239">
        <v>4.8600000000000003</v>
      </c>
      <c r="I239">
        <v>9.3699999999999992</v>
      </c>
      <c r="J239">
        <v>10.51</v>
      </c>
      <c r="K239">
        <v>64.959999999999994</v>
      </c>
      <c r="L239">
        <v>-0.09</v>
      </c>
      <c r="M239">
        <v>815.09</v>
      </c>
      <c r="N239">
        <v>22.81</v>
      </c>
      <c r="O239">
        <v>356.03</v>
      </c>
      <c r="P239">
        <v>0.67</v>
      </c>
    </row>
    <row r="240" spans="1:16" x14ac:dyDescent="0.35">
      <c r="A240" s="1">
        <v>40590</v>
      </c>
      <c r="B240" s="2">
        <v>0.95833333333333337</v>
      </c>
      <c r="D240">
        <v>82.69</v>
      </c>
      <c r="E240">
        <v>0.12</v>
      </c>
      <c r="F240">
        <v>-1.08</v>
      </c>
      <c r="G240">
        <v>4.49</v>
      </c>
      <c r="H240">
        <v>3.41</v>
      </c>
      <c r="I240">
        <v>9.42</v>
      </c>
      <c r="J240">
        <v>9.9499999999999993</v>
      </c>
      <c r="K240">
        <v>35.76</v>
      </c>
      <c r="L240">
        <v>-0.01</v>
      </c>
      <c r="M240">
        <v>814.62</v>
      </c>
      <c r="N240">
        <v>22.96</v>
      </c>
      <c r="O240">
        <v>303.2</v>
      </c>
      <c r="P240">
        <v>0.68</v>
      </c>
    </row>
    <row r="241" spans="1:16" x14ac:dyDescent="0.35">
      <c r="A241" s="1">
        <v>40590</v>
      </c>
      <c r="B241" s="18">
        <v>0</v>
      </c>
      <c r="D241">
        <v>83.81</v>
      </c>
      <c r="E241">
        <v>0.14000000000000001</v>
      </c>
      <c r="F241">
        <v>-1.26</v>
      </c>
      <c r="G241">
        <v>6.65</v>
      </c>
      <c r="H241">
        <v>5.39</v>
      </c>
      <c r="I241">
        <v>6.59</v>
      </c>
      <c r="J241">
        <v>7.25</v>
      </c>
      <c r="K241">
        <v>57.78</v>
      </c>
      <c r="L241">
        <v>0.09</v>
      </c>
      <c r="M241">
        <v>825.65</v>
      </c>
      <c r="N241">
        <v>22.65</v>
      </c>
      <c r="O241">
        <v>246.5</v>
      </c>
      <c r="P241">
        <v>0.24</v>
      </c>
    </row>
    <row r="242" spans="1:16" x14ac:dyDescent="0.35">
      <c r="A242" s="1">
        <v>40591</v>
      </c>
      <c r="B242" s="2">
        <v>4.1666666666666664E-2</v>
      </c>
      <c r="D242">
        <v>87.48</v>
      </c>
      <c r="E242">
        <v>0.16</v>
      </c>
      <c r="F242">
        <v>-0.97</v>
      </c>
      <c r="G242">
        <v>8.52</v>
      </c>
      <c r="H242">
        <v>7.55</v>
      </c>
      <c r="I242">
        <v>3.33</v>
      </c>
      <c r="J242">
        <v>8.9499999999999993</v>
      </c>
      <c r="K242">
        <v>67.17</v>
      </c>
      <c r="L242">
        <v>0.5</v>
      </c>
      <c r="M242">
        <v>862.15</v>
      </c>
      <c r="N242">
        <v>21.9</v>
      </c>
      <c r="O242">
        <v>266.70999999999998</v>
      </c>
      <c r="P242">
        <v>0.09</v>
      </c>
    </row>
    <row r="243" spans="1:16" x14ac:dyDescent="0.35">
      <c r="A243" s="1">
        <v>40591</v>
      </c>
      <c r="B243" s="2">
        <v>8.3333333333333329E-2</v>
      </c>
      <c r="D243">
        <v>88.44</v>
      </c>
      <c r="E243">
        <v>0.18</v>
      </c>
      <c r="F243">
        <v>0.8</v>
      </c>
      <c r="G243">
        <v>10.039999999999999</v>
      </c>
      <c r="H243">
        <v>10.84</v>
      </c>
      <c r="I243">
        <v>0.7</v>
      </c>
      <c r="J243">
        <v>10.24</v>
      </c>
      <c r="K243">
        <v>70.92</v>
      </c>
      <c r="L243">
        <v>0.56999999999999995</v>
      </c>
      <c r="M243">
        <v>871.9</v>
      </c>
      <c r="N243">
        <v>21.73</v>
      </c>
      <c r="O243">
        <v>37.18</v>
      </c>
      <c r="P243">
        <v>0.17</v>
      </c>
    </row>
    <row r="244" spans="1:16" x14ac:dyDescent="0.35">
      <c r="A244" s="1">
        <v>40591</v>
      </c>
      <c r="B244" s="2">
        <v>0.125</v>
      </c>
      <c r="D244">
        <v>87.96</v>
      </c>
      <c r="E244">
        <v>0.19</v>
      </c>
      <c r="F244">
        <v>3.95</v>
      </c>
      <c r="G244">
        <v>10.029999999999999</v>
      </c>
      <c r="H244">
        <v>13.98</v>
      </c>
      <c r="I244">
        <v>0.17</v>
      </c>
      <c r="J244">
        <v>11.41</v>
      </c>
      <c r="K244">
        <v>65.72</v>
      </c>
      <c r="L244">
        <v>0.59</v>
      </c>
      <c r="M244">
        <v>867.15</v>
      </c>
      <c r="N244">
        <v>21.9</v>
      </c>
      <c r="O244">
        <v>28.41</v>
      </c>
      <c r="P244">
        <v>0.24</v>
      </c>
    </row>
    <row r="245" spans="1:16" x14ac:dyDescent="0.35">
      <c r="A245" s="1">
        <v>40591</v>
      </c>
      <c r="B245" s="2">
        <v>0.16666666666666666</v>
      </c>
      <c r="D245">
        <v>87.25</v>
      </c>
      <c r="E245">
        <v>0.22</v>
      </c>
      <c r="F245">
        <v>3.53</v>
      </c>
      <c r="G245">
        <v>10.38</v>
      </c>
      <c r="H245">
        <v>13.91</v>
      </c>
      <c r="I245">
        <v>0.24</v>
      </c>
      <c r="J245">
        <v>13.31</v>
      </c>
      <c r="K245">
        <v>70.73</v>
      </c>
      <c r="L245">
        <v>0.79</v>
      </c>
      <c r="M245">
        <v>860.07</v>
      </c>
      <c r="N245">
        <v>22.05</v>
      </c>
      <c r="O245">
        <v>86.71</v>
      </c>
      <c r="P245">
        <v>0.28999999999999998</v>
      </c>
    </row>
    <row r="246" spans="1:16" x14ac:dyDescent="0.35">
      <c r="A246" s="1">
        <v>40591</v>
      </c>
      <c r="B246" s="2">
        <v>0.20833333333333334</v>
      </c>
      <c r="D246">
        <v>86.74</v>
      </c>
      <c r="E246">
        <v>0.23</v>
      </c>
      <c r="F246">
        <v>8.6</v>
      </c>
      <c r="G246">
        <v>10.62</v>
      </c>
      <c r="H246">
        <v>19.22</v>
      </c>
      <c r="I246">
        <v>0.13</v>
      </c>
      <c r="J246">
        <v>15</v>
      </c>
      <c r="K246">
        <v>80.97</v>
      </c>
      <c r="L246">
        <v>1.4</v>
      </c>
      <c r="M246">
        <v>854.92</v>
      </c>
      <c r="N246">
        <v>22.24</v>
      </c>
      <c r="O246">
        <v>87.98</v>
      </c>
      <c r="P246">
        <v>0.4</v>
      </c>
    </row>
    <row r="247" spans="1:16" x14ac:dyDescent="0.35">
      <c r="A247" s="1">
        <v>40591</v>
      </c>
      <c r="B247" s="2">
        <v>0.25</v>
      </c>
      <c r="D247">
        <v>90.69</v>
      </c>
      <c r="E247">
        <v>0.22</v>
      </c>
      <c r="F247">
        <v>27.34</v>
      </c>
      <c r="G247">
        <v>10.220000000000001</v>
      </c>
      <c r="H247">
        <v>37.549999999999997</v>
      </c>
      <c r="I247">
        <v>0.09</v>
      </c>
      <c r="J247">
        <v>12.07</v>
      </c>
      <c r="K247">
        <v>67.34</v>
      </c>
      <c r="L247">
        <v>2.16</v>
      </c>
      <c r="M247">
        <v>894.18</v>
      </c>
      <c r="N247">
        <v>21.31</v>
      </c>
      <c r="O247">
        <v>200.18</v>
      </c>
      <c r="P247">
        <v>0.14000000000000001</v>
      </c>
    </row>
    <row r="248" spans="1:16" x14ac:dyDescent="0.35">
      <c r="A248" s="1">
        <v>40591</v>
      </c>
      <c r="B248" s="2">
        <v>0.29166666666666669</v>
      </c>
      <c r="D248">
        <v>86.81</v>
      </c>
      <c r="E248">
        <v>0.28000000000000003</v>
      </c>
      <c r="F248">
        <v>49.41</v>
      </c>
      <c r="G248">
        <v>11.28</v>
      </c>
      <c r="H248">
        <v>60.69</v>
      </c>
      <c r="I248">
        <v>0.47</v>
      </c>
      <c r="J248">
        <v>27.48</v>
      </c>
      <c r="K248">
        <v>52.91</v>
      </c>
      <c r="L248">
        <v>2.11</v>
      </c>
      <c r="M248">
        <v>856.12</v>
      </c>
      <c r="N248">
        <v>22.28</v>
      </c>
      <c r="O248">
        <v>327.16000000000003</v>
      </c>
      <c r="P248">
        <v>0.57999999999999996</v>
      </c>
    </row>
    <row r="249" spans="1:16" x14ac:dyDescent="0.35">
      <c r="A249" s="1">
        <v>40591</v>
      </c>
      <c r="B249" s="2">
        <v>0.33333333333333331</v>
      </c>
      <c r="D249">
        <v>78.180000000000007</v>
      </c>
      <c r="E249">
        <v>0.27</v>
      </c>
      <c r="F249">
        <v>16.37</v>
      </c>
      <c r="G249">
        <v>9.27</v>
      </c>
      <c r="H249">
        <v>25.64</v>
      </c>
      <c r="I249">
        <v>2.5499999999999998</v>
      </c>
      <c r="J249">
        <v>18.260000000000002</v>
      </c>
      <c r="K249">
        <v>36.96</v>
      </c>
      <c r="L249">
        <v>1.42</v>
      </c>
      <c r="M249">
        <v>769.77</v>
      </c>
      <c r="N249">
        <v>24.11</v>
      </c>
      <c r="O249">
        <v>332.95</v>
      </c>
      <c r="P249">
        <v>1.32</v>
      </c>
    </row>
    <row r="250" spans="1:16" x14ac:dyDescent="0.35">
      <c r="A250" s="1">
        <v>40591</v>
      </c>
      <c r="B250" s="2">
        <v>0.375</v>
      </c>
      <c r="D250">
        <v>77.260000000000005</v>
      </c>
      <c r="E250">
        <v>0.39</v>
      </c>
      <c r="F250">
        <v>8.67</v>
      </c>
      <c r="G250">
        <v>8.7100000000000009</v>
      </c>
      <c r="H250">
        <v>17.38</v>
      </c>
      <c r="I250">
        <v>5.25</v>
      </c>
      <c r="J250">
        <v>20.11</v>
      </c>
      <c r="K250">
        <v>30.15</v>
      </c>
      <c r="L250">
        <v>1.18</v>
      </c>
      <c r="M250">
        <v>761.57</v>
      </c>
      <c r="N250">
        <v>24.4</v>
      </c>
      <c r="O250">
        <v>316.63</v>
      </c>
      <c r="P250">
        <v>1.51</v>
      </c>
    </row>
    <row r="251" spans="1:16" x14ac:dyDescent="0.35">
      <c r="A251" s="1">
        <v>40591</v>
      </c>
      <c r="B251" s="2">
        <v>0.41666666666666669</v>
      </c>
      <c r="D251">
        <v>69.599999999999994</v>
      </c>
      <c r="E251">
        <v>0.44</v>
      </c>
      <c r="F251">
        <v>4.49</v>
      </c>
      <c r="G251">
        <v>6.22</v>
      </c>
      <c r="H251">
        <v>10.71</v>
      </c>
      <c r="I251">
        <v>11.66</v>
      </c>
      <c r="J251">
        <v>20.86</v>
      </c>
      <c r="K251">
        <v>74.98</v>
      </c>
      <c r="L251">
        <v>1.1299999999999999</v>
      </c>
      <c r="M251">
        <v>686.41</v>
      </c>
      <c r="N251">
        <v>26.45</v>
      </c>
      <c r="O251">
        <v>307.36</v>
      </c>
      <c r="P251">
        <v>0.66</v>
      </c>
    </row>
    <row r="252" spans="1:16" x14ac:dyDescent="0.35">
      <c r="A252" s="1">
        <v>40591</v>
      </c>
      <c r="B252" s="2">
        <v>0.45833333333333331</v>
      </c>
      <c r="D252">
        <v>56.82</v>
      </c>
      <c r="E252">
        <v>0.41</v>
      </c>
      <c r="F252">
        <v>0.64</v>
      </c>
      <c r="G252">
        <v>4.63</v>
      </c>
      <c r="H252">
        <v>5.27</v>
      </c>
      <c r="I252">
        <v>26.89</v>
      </c>
      <c r="J252">
        <v>18.89</v>
      </c>
      <c r="K252">
        <v>66.12</v>
      </c>
      <c r="L252">
        <v>1.42</v>
      </c>
      <c r="M252">
        <v>560.62</v>
      </c>
      <c r="N252">
        <v>29.4</v>
      </c>
      <c r="O252">
        <v>336.07</v>
      </c>
      <c r="P252">
        <v>1.03</v>
      </c>
    </row>
    <row r="253" spans="1:16" x14ac:dyDescent="0.35">
      <c r="A253" s="1">
        <v>40591</v>
      </c>
      <c r="B253" s="2">
        <v>0.5</v>
      </c>
      <c r="D253">
        <v>52.87</v>
      </c>
      <c r="E253">
        <v>0.41</v>
      </c>
      <c r="F253">
        <v>-0.67</v>
      </c>
      <c r="G253">
        <v>5.25</v>
      </c>
      <c r="H253">
        <v>4.58</v>
      </c>
      <c r="I253">
        <v>37.25</v>
      </c>
      <c r="J253">
        <v>21.92</v>
      </c>
      <c r="K253">
        <v>63.29</v>
      </c>
      <c r="L253">
        <v>1.47</v>
      </c>
      <c r="M253">
        <v>519.36</v>
      </c>
      <c r="N253">
        <v>30.16</v>
      </c>
      <c r="O253">
        <v>291.26</v>
      </c>
      <c r="P253">
        <v>0.74</v>
      </c>
    </row>
    <row r="254" spans="1:16" x14ac:dyDescent="0.35">
      <c r="A254" s="1">
        <v>40591</v>
      </c>
      <c r="B254" s="2">
        <v>0.54166666666666663</v>
      </c>
      <c r="D254">
        <v>47.98</v>
      </c>
      <c r="E254">
        <v>0.33</v>
      </c>
      <c r="F254">
        <v>-0.69</v>
      </c>
      <c r="G254">
        <v>4.75</v>
      </c>
      <c r="H254">
        <v>4.0599999999999996</v>
      </c>
      <c r="I254">
        <v>41.83</v>
      </c>
      <c r="J254">
        <v>13.09</v>
      </c>
      <c r="K254">
        <v>49.78</v>
      </c>
      <c r="L254">
        <v>0.64</v>
      </c>
      <c r="M254">
        <v>470.5</v>
      </c>
      <c r="N254">
        <v>30.88</v>
      </c>
      <c r="O254">
        <v>267.27</v>
      </c>
      <c r="P254">
        <v>0.99</v>
      </c>
    </row>
    <row r="255" spans="1:16" x14ac:dyDescent="0.35">
      <c r="A255" s="1">
        <v>40591</v>
      </c>
      <c r="B255" s="2">
        <v>0.58333333333333337</v>
      </c>
      <c r="D255">
        <v>44.42</v>
      </c>
      <c r="E255">
        <v>0.24</v>
      </c>
      <c r="F255">
        <v>-0.62</v>
      </c>
      <c r="G255">
        <v>4.5</v>
      </c>
      <c r="H255">
        <v>3.88</v>
      </c>
      <c r="I255">
        <v>40.840000000000003</v>
      </c>
      <c r="J255">
        <v>11.4</v>
      </c>
      <c r="K255">
        <v>66.650000000000006</v>
      </c>
      <c r="L255">
        <v>0.38</v>
      </c>
      <c r="M255">
        <v>434.72</v>
      </c>
      <c r="N255">
        <v>31.51</v>
      </c>
      <c r="O255">
        <v>217.36</v>
      </c>
      <c r="P255">
        <v>0.92</v>
      </c>
    </row>
    <row r="256" spans="1:16" x14ac:dyDescent="0.35">
      <c r="A256" s="1">
        <v>40591</v>
      </c>
      <c r="B256" s="2">
        <v>0.625</v>
      </c>
      <c r="D256">
        <v>48.88</v>
      </c>
      <c r="E256">
        <v>0.31</v>
      </c>
      <c r="F256">
        <v>-0.73</v>
      </c>
      <c r="G256">
        <v>5.84</v>
      </c>
      <c r="H256">
        <v>5.12</v>
      </c>
      <c r="I256">
        <v>41.76</v>
      </c>
      <c r="J256">
        <v>41.36</v>
      </c>
      <c r="K256">
        <v>48.94</v>
      </c>
      <c r="L256">
        <v>0.47</v>
      </c>
      <c r="M256">
        <v>478.34</v>
      </c>
      <c r="N256">
        <v>30.17</v>
      </c>
      <c r="O256">
        <v>270.64</v>
      </c>
      <c r="P256">
        <v>0.66</v>
      </c>
    </row>
    <row r="257" spans="1:16" x14ac:dyDescent="0.35">
      <c r="A257" s="1">
        <v>40591</v>
      </c>
      <c r="B257" s="2">
        <v>0.66666666666666663</v>
      </c>
      <c r="D257">
        <v>58.85</v>
      </c>
      <c r="E257">
        <v>0.28999999999999998</v>
      </c>
      <c r="F257">
        <v>0.72</v>
      </c>
      <c r="G257">
        <v>10.45</v>
      </c>
      <c r="H257">
        <v>11.17</v>
      </c>
      <c r="I257">
        <v>36.42</v>
      </c>
      <c r="J257">
        <v>41.5</v>
      </c>
      <c r="K257">
        <v>53.62</v>
      </c>
      <c r="L257">
        <v>0.77</v>
      </c>
      <c r="M257">
        <v>578.48</v>
      </c>
      <c r="N257">
        <v>28.95</v>
      </c>
      <c r="O257">
        <v>38.909999999999997</v>
      </c>
      <c r="P257">
        <v>1.62</v>
      </c>
    </row>
    <row r="258" spans="1:16" x14ac:dyDescent="0.35">
      <c r="A258" s="1">
        <v>40591</v>
      </c>
      <c r="B258" s="2">
        <v>0.70833333333333337</v>
      </c>
      <c r="D258">
        <v>53.32</v>
      </c>
      <c r="E258">
        <v>0.16</v>
      </c>
      <c r="F258">
        <v>0.87</v>
      </c>
      <c r="G258">
        <v>10.29</v>
      </c>
      <c r="H258">
        <v>11.16</v>
      </c>
      <c r="I258">
        <v>37.659999999999997</v>
      </c>
      <c r="J258">
        <v>6.28</v>
      </c>
      <c r="K258">
        <v>49.49</v>
      </c>
      <c r="L258">
        <v>0.53</v>
      </c>
      <c r="M258">
        <v>522.75</v>
      </c>
      <c r="N258">
        <v>29.19</v>
      </c>
      <c r="O258">
        <v>50.34</v>
      </c>
      <c r="P258">
        <v>1.45</v>
      </c>
    </row>
    <row r="259" spans="1:16" x14ac:dyDescent="0.35">
      <c r="A259" s="1">
        <v>40591</v>
      </c>
      <c r="B259" s="2">
        <v>0.75</v>
      </c>
      <c r="D259">
        <v>55.06</v>
      </c>
      <c r="E259">
        <v>0.13</v>
      </c>
      <c r="F259">
        <v>0.48</v>
      </c>
      <c r="G259">
        <v>12.33</v>
      </c>
      <c r="H259">
        <v>12.8</v>
      </c>
      <c r="I259">
        <v>31.18</v>
      </c>
      <c r="J259">
        <v>11.93</v>
      </c>
      <c r="K259">
        <v>51.17</v>
      </c>
      <c r="L259">
        <v>0.48</v>
      </c>
      <c r="M259">
        <v>539.61</v>
      </c>
      <c r="N259">
        <v>28.4</v>
      </c>
      <c r="O259">
        <v>45.8</v>
      </c>
      <c r="P259">
        <v>1.07</v>
      </c>
    </row>
    <row r="260" spans="1:16" x14ac:dyDescent="0.35">
      <c r="A260" s="1">
        <v>40591</v>
      </c>
      <c r="B260" s="2">
        <v>0.79166666666666663</v>
      </c>
      <c r="D260">
        <v>65.95</v>
      </c>
      <c r="E260">
        <v>0.25</v>
      </c>
      <c r="F260">
        <v>-0.26</v>
      </c>
      <c r="G260">
        <v>12.24</v>
      </c>
      <c r="H260">
        <v>11.98</v>
      </c>
      <c r="I260">
        <v>32.79</v>
      </c>
      <c r="J260">
        <v>23.7</v>
      </c>
      <c r="K260">
        <v>54.2</v>
      </c>
      <c r="L260">
        <v>0.66</v>
      </c>
      <c r="M260">
        <v>646.94000000000005</v>
      </c>
      <c r="N260">
        <v>26.89</v>
      </c>
      <c r="O260">
        <v>37.76</v>
      </c>
      <c r="P260">
        <v>0.79</v>
      </c>
    </row>
    <row r="261" spans="1:16" x14ac:dyDescent="0.35">
      <c r="A261" s="1">
        <v>40591</v>
      </c>
      <c r="B261" s="2">
        <v>0.83333333333333337</v>
      </c>
      <c r="D261">
        <v>72.510000000000005</v>
      </c>
      <c r="E261">
        <v>0.3</v>
      </c>
      <c r="F261">
        <v>-0.76</v>
      </c>
      <c r="G261">
        <v>13.98</v>
      </c>
      <c r="H261">
        <v>13.23</v>
      </c>
      <c r="I261">
        <v>29.86</v>
      </c>
      <c r="J261">
        <v>25.77</v>
      </c>
      <c r="K261">
        <v>52.43</v>
      </c>
      <c r="L261">
        <v>0.96</v>
      </c>
      <c r="M261">
        <v>712.62</v>
      </c>
      <c r="N261">
        <v>25.97</v>
      </c>
      <c r="O261">
        <v>339.59</v>
      </c>
      <c r="P261">
        <v>1.0900000000000001</v>
      </c>
    </row>
    <row r="262" spans="1:16" x14ac:dyDescent="0.35">
      <c r="A262" s="1">
        <v>40591</v>
      </c>
      <c r="B262" s="2">
        <v>0.875</v>
      </c>
      <c r="D262">
        <v>72.819999999999993</v>
      </c>
      <c r="E262">
        <v>0.23</v>
      </c>
      <c r="F262">
        <v>-0.68</v>
      </c>
      <c r="G262">
        <v>13.8</v>
      </c>
      <c r="H262">
        <v>13.12</v>
      </c>
      <c r="I262">
        <v>23.81</v>
      </c>
      <c r="J262">
        <v>14.36</v>
      </c>
      <c r="K262">
        <v>84.37</v>
      </c>
      <c r="L262">
        <v>3.14</v>
      </c>
      <c r="M262">
        <v>715.91</v>
      </c>
      <c r="N262">
        <v>25.6</v>
      </c>
      <c r="O262">
        <v>250.81</v>
      </c>
      <c r="P262">
        <v>0.15</v>
      </c>
    </row>
    <row r="263" spans="1:16" x14ac:dyDescent="0.35">
      <c r="A263" s="1">
        <v>40591</v>
      </c>
      <c r="B263" s="2">
        <v>0.91666666666666663</v>
      </c>
      <c r="D263">
        <v>84.25</v>
      </c>
      <c r="E263">
        <v>0.25</v>
      </c>
      <c r="F263">
        <v>-0.55000000000000004</v>
      </c>
      <c r="G263">
        <v>18.78</v>
      </c>
      <c r="H263">
        <v>18.239999999999998</v>
      </c>
      <c r="I263">
        <v>11.44</v>
      </c>
      <c r="J263">
        <v>22.2</v>
      </c>
      <c r="K263">
        <v>68.430000000000007</v>
      </c>
      <c r="L263">
        <v>3.08</v>
      </c>
      <c r="M263">
        <v>829.63</v>
      </c>
      <c r="N263">
        <v>24.25</v>
      </c>
      <c r="O263">
        <v>4.8</v>
      </c>
      <c r="P263">
        <v>0.49</v>
      </c>
    </row>
    <row r="264" spans="1:16" x14ac:dyDescent="0.35">
      <c r="A264" s="1">
        <v>40591</v>
      </c>
      <c r="B264" s="2">
        <v>0.95833333333333337</v>
      </c>
      <c r="D264">
        <v>91.49</v>
      </c>
      <c r="E264">
        <v>0.3</v>
      </c>
      <c r="F264">
        <v>10.4</v>
      </c>
      <c r="G264">
        <v>21.71</v>
      </c>
      <c r="H264">
        <v>32.11</v>
      </c>
      <c r="I264">
        <v>3.78</v>
      </c>
      <c r="J264">
        <v>16.27</v>
      </c>
      <c r="K264">
        <v>110.27</v>
      </c>
      <c r="L264">
        <v>1.22</v>
      </c>
      <c r="M264">
        <v>902.16</v>
      </c>
      <c r="N264">
        <v>23.15</v>
      </c>
      <c r="O264">
        <v>43.27</v>
      </c>
      <c r="P264">
        <v>0.14000000000000001</v>
      </c>
    </row>
    <row r="265" spans="1:16" x14ac:dyDescent="0.35">
      <c r="A265" s="1">
        <v>40591</v>
      </c>
      <c r="B265" s="18">
        <v>0</v>
      </c>
      <c r="D265">
        <v>94.06</v>
      </c>
      <c r="E265">
        <v>0.28999999999999998</v>
      </c>
      <c r="F265">
        <v>2.58</v>
      </c>
      <c r="G265">
        <v>18.920000000000002</v>
      </c>
      <c r="H265">
        <v>21.51</v>
      </c>
      <c r="I265">
        <v>0.39</v>
      </c>
      <c r="J265">
        <v>13.02</v>
      </c>
      <c r="K265">
        <v>70.59</v>
      </c>
      <c r="L265">
        <v>0.94</v>
      </c>
      <c r="M265">
        <v>928</v>
      </c>
      <c r="N265">
        <v>22.75</v>
      </c>
      <c r="O265">
        <v>308.95999999999998</v>
      </c>
      <c r="P265">
        <v>0.18</v>
      </c>
    </row>
    <row r="266" spans="1:16" x14ac:dyDescent="0.35">
      <c r="A266" s="1">
        <v>40592</v>
      </c>
      <c r="B266" s="2">
        <v>4.1666666666666664E-2</v>
      </c>
      <c r="D266">
        <v>95.09</v>
      </c>
      <c r="E266">
        <v>0.32</v>
      </c>
      <c r="F266">
        <v>18.93</v>
      </c>
      <c r="G266">
        <v>16.95</v>
      </c>
      <c r="H266">
        <v>35.880000000000003</v>
      </c>
      <c r="I266">
        <v>0</v>
      </c>
      <c r="J266">
        <v>16.72</v>
      </c>
      <c r="K266">
        <v>84.91</v>
      </c>
      <c r="L266">
        <v>0.9</v>
      </c>
      <c r="M266">
        <v>938.34</v>
      </c>
      <c r="N266">
        <v>22.85</v>
      </c>
      <c r="O266">
        <v>106.31</v>
      </c>
      <c r="P266">
        <v>0.15</v>
      </c>
    </row>
    <row r="267" spans="1:16" x14ac:dyDescent="0.35">
      <c r="A267" s="1">
        <v>40592</v>
      </c>
      <c r="B267" s="2">
        <v>8.3333333333333329E-2</v>
      </c>
      <c r="D267">
        <v>92.1</v>
      </c>
      <c r="E267">
        <v>0.38</v>
      </c>
      <c r="F267">
        <v>9.5500000000000007</v>
      </c>
      <c r="G267">
        <v>18.68</v>
      </c>
      <c r="H267">
        <v>28.23</v>
      </c>
      <c r="I267">
        <v>2.5499999999999998</v>
      </c>
      <c r="J267">
        <v>15.53</v>
      </c>
      <c r="K267">
        <v>40.270000000000003</v>
      </c>
      <c r="L267">
        <v>2.81</v>
      </c>
      <c r="M267">
        <v>908.61</v>
      </c>
      <c r="N267">
        <v>22.73</v>
      </c>
      <c r="O267">
        <v>127.05</v>
      </c>
      <c r="P267">
        <v>0.99</v>
      </c>
    </row>
    <row r="268" spans="1:16" x14ac:dyDescent="0.35">
      <c r="A268" s="1">
        <v>40592</v>
      </c>
      <c r="B268" s="2">
        <v>0.125</v>
      </c>
      <c r="D268">
        <v>88.9</v>
      </c>
      <c r="E268">
        <v>0.49</v>
      </c>
      <c r="F268">
        <v>-1.06</v>
      </c>
      <c r="G268">
        <v>9.61</v>
      </c>
      <c r="H268">
        <v>8.5500000000000007</v>
      </c>
      <c r="I268">
        <v>17.48</v>
      </c>
      <c r="J268">
        <v>21.23</v>
      </c>
      <c r="K268">
        <v>18.260000000000002</v>
      </c>
      <c r="L268">
        <v>2.7</v>
      </c>
      <c r="M268">
        <v>876.59</v>
      </c>
      <c r="N268">
        <v>22.68</v>
      </c>
      <c r="O268">
        <v>133.06</v>
      </c>
      <c r="P268">
        <v>1.37</v>
      </c>
    </row>
    <row r="269" spans="1:16" x14ac:dyDescent="0.35">
      <c r="A269" s="1">
        <v>40592</v>
      </c>
      <c r="B269" s="2">
        <v>0.16666666666666666</v>
      </c>
      <c r="D269">
        <v>86.37</v>
      </c>
      <c r="E269">
        <v>0.49</v>
      </c>
      <c r="F269">
        <v>-1.1599999999999999</v>
      </c>
      <c r="G269">
        <v>7.88</v>
      </c>
      <c r="H269">
        <v>6.71</v>
      </c>
      <c r="I269">
        <v>18.489999999999998</v>
      </c>
      <c r="J269">
        <v>18.899999999999999</v>
      </c>
      <c r="K269">
        <v>15.25</v>
      </c>
      <c r="L269">
        <v>1.35</v>
      </c>
      <c r="M269">
        <v>851.36</v>
      </c>
      <c r="N269">
        <v>22.56</v>
      </c>
      <c r="O269">
        <v>133.34</v>
      </c>
      <c r="P269">
        <v>1.76</v>
      </c>
    </row>
    <row r="270" spans="1:16" x14ac:dyDescent="0.35">
      <c r="A270" s="1">
        <v>40592</v>
      </c>
      <c r="B270" s="2">
        <v>0.20833333333333334</v>
      </c>
      <c r="D270">
        <v>84.96</v>
      </c>
      <c r="E270">
        <v>0.41</v>
      </c>
      <c r="F270">
        <v>-0.99</v>
      </c>
      <c r="G270">
        <v>8.36</v>
      </c>
      <c r="H270">
        <v>7.37</v>
      </c>
      <c r="I270">
        <v>14.39</v>
      </c>
      <c r="J270">
        <v>17.72</v>
      </c>
      <c r="K270">
        <v>26.28</v>
      </c>
      <c r="L270">
        <v>0.51</v>
      </c>
      <c r="M270">
        <v>837.24</v>
      </c>
      <c r="N270">
        <v>22.38</v>
      </c>
      <c r="O270">
        <v>151.1</v>
      </c>
      <c r="P270">
        <v>1.01</v>
      </c>
    </row>
    <row r="271" spans="1:16" x14ac:dyDescent="0.35">
      <c r="A271" s="1">
        <v>40592</v>
      </c>
      <c r="B271" s="2">
        <v>0.25</v>
      </c>
      <c r="D271">
        <v>84.16</v>
      </c>
      <c r="E271">
        <v>0.41</v>
      </c>
      <c r="F271">
        <v>-0.6</v>
      </c>
      <c r="G271">
        <v>11.82</v>
      </c>
      <c r="H271">
        <v>11.21</v>
      </c>
      <c r="I271">
        <v>9.91</v>
      </c>
      <c r="J271">
        <v>21.13</v>
      </c>
      <c r="K271">
        <v>35.64</v>
      </c>
      <c r="L271">
        <v>0.61</v>
      </c>
      <c r="M271">
        <v>829.23</v>
      </c>
      <c r="N271">
        <v>22.45</v>
      </c>
      <c r="O271">
        <v>184.08</v>
      </c>
      <c r="P271">
        <v>0.94</v>
      </c>
    </row>
    <row r="272" spans="1:16" x14ac:dyDescent="0.35">
      <c r="A272" s="1">
        <v>40592</v>
      </c>
      <c r="B272" s="2">
        <v>0.29166666666666669</v>
      </c>
      <c r="D272">
        <v>82.59</v>
      </c>
      <c r="E272">
        <v>0.35</v>
      </c>
      <c r="F272">
        <v>-0.25</v>
      </c>
      <c r="G272">
        <v>12.36</v>
      </c>
      <c r="H272">
        <v>12.11</v>
      </c>
      <c r="I272">
        <v>8.1300000000000008</v>
      </c>
      <c r="J272">
        <v>21.46</v>
      </c>
      <c r="K272">
        <v>32.409999999999997</v>
      </c>
      <c r="L272">
        <v>0.52</v>
      </c>
      <c r="M272">
        <v>813.59</v>
      </c>
      <c r="N272">
        <v>22.52</v>
      </c>
      <c r="O272">
        <v>184.25</v>
      </c>
      <c r="P272">
        <v>1.1299999999999999</v>
      </c>
    </row>
    <row r="273" spans="1:16" x14ac:dyDescent="0.35">
      <c r="A273" s="1">
        <v>40592</v>
      </c>
      <c r="B273" s="2">
        <v>0.33333333333333331</v>
      </c>
      <c r="D273">
        <v>81.209999999999994</v>
      </c>
      <c r="E273">
        <v>0.34</v>
      </c>
      <c r="F273">
        <v>0.94</v>
      </c>
      <c r="G273">
        <v>12.1</v>
      </c>
      <c r="H273">
        <v>13.04</v>
      </c>
      <c r="I273">
        <v>7.63</v>
      </c>
      <c r="J273">
        <v>25.3</v>
      </c>
      <c r="K273">
        <v>34.9</v>
      </c>
      <c r="L273">
        <v>0.41</v>
      </c>
      <c r="M273">
        <v>799.59</v>
      </c>
      <c r="N273">
        <v>22.91</v>
      </c>
      <c r="O273">
        <v>161.47</v>
      </c>
      <c r="P273">
        <v>1.07</v>
      </c>
    </row>
    <row r="274" spans="1:16" x14ac:dyDescent="0.35">
      <c r="A274" s="1">
        <v>40592</v>
      </c>
      <c r="B274" s="2">
        <v>0.375</v>
      </c>
      <c r="D274">
        <v>79.52</v>
      </c>
      <c r="E274">
        <v>0.41</v>
      </c>
      <c r="F274">
        <v>1.75</v>
      </c>
      <c r="G274">
        <v>9.3000000000000007</v>
      </c>
      <c r="H274">
        <v>11.04</v>
      </c>
      <c r="I274">
        <v>10.93</v>
      </c>
      <c r="J274">
        <v>29.45</v>
      </c>
      <c r="K274">
        <v>33.97</v>
      </c>
      <c r="L274">
        <v>0.23</v>
      </c>
      <c r="M274">
        <v>780.7</v>
      </c>
      <c r="N274">
        <v>23.46</v>
      </c>
      <c r="O274">
        <v>165.33</v>
      </c>
      <c r="P274">
        <v>1.42</v>
      </c>
    </row>
    <row r="275" spans="1:16" x14ac:dyDescent="0.35">
      <c r="A275" s="1">
        <v>40592</v>
      </c>
      <c r="B275" s="2">
        <v>0.41666666666666669</v>
      </c>
      <c r="D275">
        <v>78.44</v>
      </c>
      <c r="E275">
        <v>0.39</v>
      </c>
      <c r="F275">
        <v>0.09</v>
      </c>
      <c r="G275">
        <v>6.83</v>
      </c>
      <c r="H275">
        <v>6.93</v>
      </c>
      <c r="I275">
        <v>15.63</v>
      </c>
      <c r="J275">
        <v>24.9</v>
      </c>
      <c r="K275">
        <v>31.12</v>
      </c>
      <c r="L275">
        <v>-0.08</v>
      </c>
      <c r="M275">
        <v>770.19</v>
      </c>
      <c r="N275">
        <v>23.58</v>
      </c>
      <c r="O275">
        <v>175.13</v>
      </c>
      <c r="P275">
        <v>1.51</v>
      </c>
    </row>
    <row r="276" spans="1:16" x14ac:dyDescent="0.35">
      <c r="A276" s="1">
        <v>40592</v>
      </c>
      <c r="B276" s="2">
        <v>0.45833333333333331</v>
      </c>
      <c r="D276">
        <v>77.959999999999994</v>
      </c>
      <c r="E276">
        <v>0.37</v>
      </c>
      <c r="F276">
        <v>-0.14000000000000001</v>
      </c>
      <c r="G276">
        <v>7.25</v>
      </c>
      <c r="H276">
        <v>7.1</v>
      </c>
      <c r="I276">
        <v>16.010000000000002</v>
      </c>
      <c r="J276">
        <v>24.22</v>
      </c>
      <c r="K276">
        <v>29.13</v>
      </c>
      <c r="L276">
        <v>-0.04</v>
      </c>
      <c r="M276">
        <v>765.38</v>
      </c>
      <c r="N276">
        <v>23.76</v>
      </c>
      <c r="O276">
        <v>187.92</v>
      </c>
      <c r="P276">
        <v>1.18</v>
      </c>
    </row>
    <row r="277" spans="1:16" x14ac:dyDescent="0.35">
      <c r="A277" s="1">
        <v>40592</v>
      </c>
      <c r="B277" s="2">
        <v>0.5</v>
      </c>
      <c r="D277">
        <v>74.95</v>
      </c>
      <c r="E277">
        <v>0.39</v>
      </c>
      <c r="F277">
        <v>0.14000000000000001</v>
      </c>
      <c r="G277">
        <v>7.16</v>
      </c>
      <c r="H277">
        <v>7.3</v>
      </c>
      <c r="I277">
        <v>18.18</v>
      </c>
      <c r="J277">
        <v>22.85</v>
      </c>
      <c r="K277">
        <v>33.950000000000003</v>
      </c>
      <c r="L277">
        <v>-0.11</v>
      </c>
      <c r="M277">
        <v>736.2</v>
      </c>
      <c r="N277">
        <v>24.64</v>
      </c>
      <c r="O277">
        <v>181.73</v>
      </c>
      <c r="P277">
        <v>1.1200000000000001</v>
      </c>
    </row>
    <row r="278" spans="1:16" x14ac:dyDescent="0.35">
      <c r="A278" s="1">
        <v>40592</v>
      </c>
      <c r="B278" s="2">
        <v>0.54166666666666663</v>
      </c>
      <c r="D278">
        <v>70.03</v>
      </c>
      <c r="E278">
        <v>0.42</v>
      </c>
      <c r="F278">
        <v>1.28</v>
      </c>
      <c r="G278">
        <v>8.33</v>
      </c>
      <c r="H278">
        <v>9.61</v>
      </c>
      <c r="I278">
        <v>22.54</v>
      </c>
      <c r="J278">
        <v>29.14</v>
      </c>
      <c r="K278">
        <v>33.81</v>
      </c>
      <c r="L278">
        <v>-0.04</v>
      </c>
      <c r="M278">
        <v>687.69</v>
      </c>
      <c r="N278">
        <v>25.7</v>
      </c>
      <c r="O278">
        <v>149.79</v>
      </c>
      <c r="P278">
        <v>1.55</v>
      </c>
    </row>
    <row r="279" spans="1:16" x14ac:dyDescent="0.35">
      <c r="A279" s="1">
        <v>40592</v>
      </c>
      <c r="B279" s="2">
        <v>0.58333333333333337</v>
      </c>
      <c r="D279">
        <v>69.19</v>
      </c>
      <c r="E279">
        <v>0.4</v>
      </c>
      <c r="F279">
        <v>0.48</v>
      </c>
      <c r="G279">
        <v>8.36</v>
      </c>
      <c r="H279">
        <v>8.84</v>
      </c>
      <c r="I279">
        <v>27.22</v>
      </c>
      <c r="J279">
        <v>23.73</v>
      </c>
      <c r="K279">
        <v>38.11</v>
      </c>
      <c r="L279">
        <v>0.28999999999999998</v>
      </c>
      <c r="M279">
        <v>679.02</v>
      </c>
      <c r="N279">
        <v>25.77</v>
      </c>
      <c r="O279">
        <v>118.99</v>
      </c>
      <c r="P279">
        <v>1.55</v>
      </c>
    </row>
    <row r="280" spans="1:16" x14ac:dyDescent="0.35">
      <c r="A280" s="1">
        <v>40592</v>
      </c>
      <c r="B280" s="2">
        <v>0.625</v>
      </c>
      <c r="D280">
        <v>66.459999999999994</v>
      </c>
      <c r="E280">
        <v>0.38</v>
      </c>
      <c r="F280">
        <v>-0.06</v>
      </c>
      <c r="G280">
        <v>6.45</v>
      </c>
      <c r="H280">
        <v>6.39</v>
      </c>
      <c r="I280">
        <v>32.299999999999997</v>
      </c>
      <c r="J280">
        <v>21.95</v>
      </c>
      <c r="K280">
        <v>24.92</v>
      </c>
      <c r="L280">
        <v>-0.03</v>
      </c>
      <c r="M280">
        <v>653.29</v>
      </c>
      <c r="N280">
        <v>26.64</v>
      </c>
      <c r="O280">
        <v>103.39</v>
      </c>
      <c r="P280">
        <v>2.17</v>
      </c>
    </row>
    <row r="281" spans="1:16" x14ac:dyDescent="0.35">
      <c r="A281" s="1">
        <v>40592</v>
      </c>
      <c r="B281" s="2">
        <v>0.66666666666666663</v>
      </c>
      <c r="D281">
        <v>63.13</v>
      </c>
      <c r="E281">
        <v>0.36</v>
      </c>
      <c r="F281">
        <v>0.21</v>
      </c>
      <c r="G281">
        <v>6.71</v>
      </c>
      <c r="H281">
        <v>6.93</v>
      </c>
      <c r="I281">
        <v>32.770000000000003</v>
      </c>
      <c r="J281">
        <v>19.13</v>
      </c>
      <c r="K281">
        <v>28.17</v>
      </c>
      <c r="L281">
        <v>1.37</v>
      </c>
      <c r="M281">
        <v>620.82000000000005</v>
      </c>
      <c r="N281">
        <v>27.2</v>
      </c>
      <c r="O281">
        <v>120.17</v>
      </c>
      <c r="P281">
        <v>2.2799999999999998</v>
      </c>
    </row>
    <row r="282" spans="1:16" x14ac:dyDescent="0.35">
      <c r="A282" s="1">
        <v>40592</v>
      </c>
      <c r="B282" s="2">
        <v>0.70833333333333337</v>
      </c>
      <c r="D282">
        <v>67.03</v>
      </c>
      <c r="E282">
        <v>0.36</v>
      </c>
      <c r="F282">
        <v>0.87</v>
      </c>
      <c r="G282">
        <v>7.99</v>
      </c>
      <c r="H282">
        <v>8.86</v>
      </c>
      <c r="I282">
        <v>27.84</v>
      </c>
      <c r="J282">
        <v>22.71</v>
      </c>
      <c r="K282">
        <v>21.41</v>
      </c>
      <c r="L282">
        <v>2.63</v>
      </c>
      <c r="M282">
        <v>657.24</v>
      </c>
      <c r="N282">
        <v>26.27</v>
      </c>
      <c r="O282">
        <v>124.38</v>
      </c>
      <c r="P282">
        <v>2.84</v>
      </c>
    </row>
    <row r="283" spans="1:16" x14ac:dyDescent="0.35">
      <c r="A283" s="1">
        <v>40592</v>
      </c>
      <c r="B283" s="2">
        <v>0.75</v>
      </c>
      <c r="D283">
        <v>72.86</v>
      </c>
      <c r="E283">
        <v>0.37</v>
      </c>
      <c r="F283">
        <v>0.94</v>
      </c>
      <c r="G283">
        <v>9.9600000000000009</v>
      </c>
      <c r="H283">
        <v>10.9</v>
      </c>
      <c r="I283">
        <v>21.28</v>
      </c>
      <c r="J283">
        <v>26.41</v>
      </c>
      <c r="K283">
        <v>19.45</v>
      </c>
      <c r="L283">
        <v>5.53</v>
      </c>
      <c r="M283">
        <v>714.61</v>
      </c>
      <c r="N283">
        <v>25.24</v>
      </c>
      <c r="O283">
        <v>120.38</v>
      </c>
      <c r="P283">
        <v>2.87</v>
      </c>
    </row>
    <row r="284" spans="1:16" x14ac:dyDescent="0.35">
      <c r="A284" s="1">
        <v>40592</v>
      </c>
      <c r="B284" s="2">
        <v>0.79166666666666663</v>
      </c>
      <c r="D284">
        <v>77.37</v>
      </c>
      <c r="E284">
        <v>0.39</v>
      </c>
      <c r="F284">
        <v>-0.24</v>
      </c>
      <c r="G284">
        <v>11.18</v>
      </c>
      <c r="H284">
        <v>10.94</v>
      </c>
      <c r="I284">
        <v>17.100000000000001</v>
      </c>
      <c r="J284">
        <v>22.77</v>
      </c>
      <c r="K284">
        <v>19.29</v>
      </c>
      <c r="L284">
        <v>4.1100000000000003</v>
      </c>
      <c r="M284">
        <v>759.39</v>
      </c>
      <c r="N284">
        <v>24.23</v>
      </c>
      <c r="O284">
        <v>126.65</v>
      </c>
      <c r="P284">
        <v>2.57</v>
      </c>
    </row>
    <row r="285" spans="1:16" x14ac:dyDescent="0.35">
      <c r="A285" s="1">
        <v>40592</v>
      </c>
      <c r="B285" s="2">
        <v>0.83333333333333337</v>
      </c>
      <c r="D285">
        <v>79.8</v>
      </c>
      <c r="E285">
        <v>0.34</v>
      </c>
      <c r="F285">
        <v>-1.1299999999999999</v>
      </c>
      <c r="G285">
        <v>11.57</v>
      </c>
      <c r="H285">
        <v>10.45</v>
      </c>
      <c r="I285">
        <v>15.31</v>
      </c>
      <c r="J285">
        <v>18.149999999999999</v>
      </c>
      <c r="K285">
        <v>16.84</v>
      </c>
      <c r="L285">
        <v>4.58</v>
      </c>
      <c r="M285">
        <v>783.74</v>
      </c>
      <c r="N285">
        <v>23.8</v>
      </c>
      <c r="O285">
        <v>132.65</v>
      </c>
      <c r="P285">
        <v>2.52</v>
      </c>
    </row>
    <row r="286" spans="1:16" x14ac:dyDescent="0.35">
      <c r="A286" s="1">
        <v>40592</v>
      </c>
      <c r="B286" s="2">
        <v>0.875</v>
      </c>
      <c r="D286">
        <v>79.83</v>
      </c>
      <c r="E286">
        <v>0.35</v>
      </c>
      <c r="F286">
        <v>-0.95</v>
      </c>
      <c r="G286">
        <v>11.46</v>
      </c>
      <c r="H286">
        <v>10.51</v>
      </c>
      <c r="I286">
        <v>13.72</v>
      </c>
      <c r="J286">
        <v>15.98</v>
      </c>
      <c r="K286">
        <v>19.649999999999999</v>
      </c>
      <c r="L286">
        <v>2.86</v>
      </c>
      <c r="M286">
        <v>785.33</v>
      </c>
      <c r="N286">
        <v>23.65</v>
      </c>
      <c r="O286">
        <v>122.23</v>
      </c>
      <c r="P286">
        <v>1.7</v>
      </c>
    </row>
    <row r="287" spans="1:16" x14ac:dyDescent="0.35">
      <c r="A287" s="1">
        <v>40592</v>
      </c>
      <c r="B287" s="2">
        <v>0.91666666666666663</v>
      </c>
      <c r="D287">
        <v>81</v>
      </c>
      <c r="E287">
        <v>0.37</v>
      </c>
      <c r="F287">
        <v>-0.96</v>
      </c>
      <c r="G287">
        <v>7.39</v>
      </c>
      <c r="H287">
        <v>6.43</v>
      </c>
      <c r="I287">
        <v>18.579999999999998</v>
      </c>
      <c r="J287">
        <v>15.34</v>
      </c>
      <c r="K287">
        <v>19.32</v>
      </c>
      <c r="L287">
        <v>0.72</v>
      </c>
      <c r="M287">
        <v>797.6</v>
      </c>
      <c r="N287">
        <v>23.53</v>
      </c>
      <c r="O287">
        <v>119.66</v>
      </c>
      <c r="P287">
        <v>1.27</v>
      </c>
    </row>
    <row r="288" spans="1:16" x14ac:dyDescent="0.35">
      <c r="A288" s="1">
        <v>40592</v>
      </c>
      <c r="B288" s="2">
        <v>0.95833333333333337</v>
      </c>
      <c r="D288">
        <v>82.94</v>
      </c>
      <c r="E288">
        <v>0.41</v>
      </c>
      <c r="F288">
        <v>-1</v>
      </c>
      <c r="G288">
        <v>8.4499999999999993</v>
      </c>
      <c r="H288">
        <v>7.45</v>
      </c>
      <c r="I288">
        <v>15.54</v>
      </c>
      <c r="J288">
        <v>16.09</v>
      </c>
      <c r="K288">
        <v>42.1</v>
      </c>
      <c r="L288">
        <v>0.32</v>
      </c>
      <c r="M288">
        <v>817.03</v>
      </c>
      <c r="N288">
        <v>23.28</v>
      </c>
      <c r="O288">
        <v>107.92</v>
      </c>
      <c r="P288">
        <v>0.59</v>
      </c>
    </row>
    <row r="289" spans="1:16" x14ac:dyDescent="0.35">
      <c r="A289" s="1">
        <v>40592</v>
      </c>
      <c r="B289" s="3">
        <v>1</v>
      </c>
      <c r="D289">
        <v>84.69</v>
      </c>
      <c r="E289">
        <v>0.42</v>
      </c>
      <c r="F289">
        <v>-0.99</v>
      </c>
      <c r="G289">
        <v>7.95</v>
      </c>
      <c r="H289">
        <v>6.96</v>
      </c>
      <c r="I289">
        <v>14.14</v>
      </c>
      <c r="J289">
        <v>17.37</v>
      </c>
      <c r="K289">
        <v>55.24</v>
      </c>
      <c r="L289">
        <v>0.18</v>
      </c>
      <c r="M289">
        <v>834.51</v>
      </c>
      <c r="N289">
        <v>23.18</v>
      </c>
      <c r="O289">
        <v>341.45</v>
      </c>
      <c r="P289">
        <v>0.35</v>
      </c>
    </row>
    <row r="290" spans="1:16" x14ac:dyDescent="0.35">
      <c r="A290" s="1">
        <v>40593</v>
      </c>
      <c r="B290" s="2">
        <v>4.1666666666666664E-2</v>
      </c>
      <c r="D290">
        <v>86.49</v>
      </c>
      <c r="E290">
        <v>0.41</v>
      </c>
      <c r="F290">
        <v>-0.89</v>
      </c>
      <c r="G290">
        <v>5.96</v>
      </c>
      <c r="H290">
        <v>5.07</v>
      </c>
      <c r="I290">
        <v>13.95</v>
      </c>
      <c r="J290">
        <v>16.89</v>
      </c>
      <c r="K290">
        <v>65.459999999999994</v>
      </c>
      <c r="L290">
        <v>0.06</v>
      </c>
      <c r="M290">
        <v>852.39</v>
      </c>
      <c r="N290">
        <v>22.94</v>
      </c>
      <c r="O290">
        <v>250.92</v>
      </c>
      <c r="P290">
        <v>0.15</v>
      </c>
    </row>
    <row r="291" spans="1:16" x14ac:dyDescent="0.35">
      <c r="A291" s="1">
        <v>40593</v>
      </c>
      <c r="B291" s="2">
        <v>8.3333333333333329E-2</v>
      </c>
      <c r="D291">
        <v>87.76</v>
      </c>
      <c r="E291">
        <v>0.42</v>
      </c>
      <c r="F291">
        <v>-0.96</v>
      </c>
      <c r="G291">
        <v>6.94</v>
      </c>
      <c r="H291">
        <v>5.98</v>
      </c>
      <c r="I291">
        <v>10.08</v>
      </c>
      <c r="J291">
        <v>15.15</v>
      </c>
      <c r="K291">
        <v>79.989999999999995</v>
      </c>
      <c r="L291">
        <v>0</v>
      </c>
      <c r="M291">
        <v>865.2</v>
      </c>
      <c r="N291">
        <v>22.66</v>
      </c>
      <c r="O291">
        <v>318.41000000000003</v>
      </c>
      <c r="P291">
        <v>0.08</v>
      </c>
    </row>
    <row r="292" spans="1:16" x14ac:dyDescent="0.35">
      <c r="A292" s="1">
        <v>40593</v>
      </c>
      <c r="B292" s="2">
        <v>0.125</v>
      </c>
      <c r="D292">
        <v>89.56</v>
      </c>
      <c r="E292">
        <v>0.44</v>
      </c>
      <c r="F292">
        <v>-0.59</v>
      </c>
      <c r="G292">
        <v>10.93</v>
      </c>
      <c r="H292">
        <v>10.34</v>
      </c>
      <c r="I292">
        <v>3.69</v>
      </c>
      <c r="J292">
        <v>13.79</v>
      </c>
      <c r="K292">
        <v>70.849999999999994</v>
      </c>
      <c r="L292">
        <v>0.04</v>
      </c>
      <c r="M292">
        <v>883.14</v>
      </c>
      <c r="N292">
        <v>22.18</v>
      </c>
      <c r="O292">
        <v>12.12</v>
      </c>
      <c r="P292">
        <v>0.27</v>
      </c>
    </row>
    <row r="293" spans="1:16" x14ac:dyDescent="0.35">
      <c r="A293" s="1">
        <v>40593</v>
      </c>
      <c r="B293" s="2">
        <v>0.16666666666666666</v>
      </c>
      <c r="D293">
        <v>92.94</v>
      </c>
      <c r="E293">
        <v>0.45</v>
      </c>
      <c r="F293">
        <v>2.56</v>
      </c>
      <c r="G293">
        <v>10.220000000000001</v>
      </c>
      <c r="H293">
        <v>12.77</v>
      </c>
      <c r="I293">
        <v>0.42</v>
      </c>
      <c r="J293">
        <v>16.399999999999999</v>
      </c>
      <c r="K293">
        <v>70.91</v>
      </c>
      <c r="L293">
        <v>-0.04</v>
      </c>
      <c r="M293">
        <v>916.93</v>
      </c>
      <c r="N293">
        <v>21.32</v>
      </c>
      <c r="O293">
        <v>20.79</v>
      </c>
      <c r="P293">
        <v>0.21</v>
      </c>
    </row>
    <row r="294" spans="1:16" x14ac:dyDescent="0.35">
      <c r="A294" s="1">
        <v>40593</v>
      </c>
      <c r="B294" s="2">
        <v>0.20833333333333334</v>
      </c>
      <c r="D294">
        <v>94.2</v>
      </c>
      <c r="E294">
        <v>0.46</v>
      </c>
      <c r="F294">
        <v>6.69</v>
      </c>
      <c r="G294">
        <v>8.84</v>
      </c>
      <c r="H294">
        <v>15.53</v>
      </c>
      <c r="I294">
        <v>0.12</v>
      </c>
      <c r="J294">
        <v>13.03</v>
      </c>
      <c r="K294">
        <v>61.81</v>
      </c>
      <c r="L294">
        <v>0.08</v>
      </c>
      <c r="M294">
        <v>929.56</v>
      </c>
      <c r="N294">
        <v>20.82</v>
      </c>
      <c r="O294">
        <v>304.83</v>
      </c>
      <c r="P294">
        <v>0.23</v>
      </c>
    </row>
    <row r="295" spans="1:16" x14ac:dyDescent="0.35">
      <c r="A295" s="1">
        <v>40593</v>
      </c>
      <c r="B295" s="2">
        <v>0.25</v>
      </c>
      <c r="D295">
        <v>94.9</v>
      </c>
      <c r="E295">
        <v>0.46</v>
      </c>
      <c r="F295">
        <v>13.93</v>
      </c>
      <c r="G295">
        <v>9.85</v>
      </c>
      <c r="H295">
        <v>23.78</v>
      </c>
      <c r="I295">
        <v>0.14000000000000001</v>
      </c>
      <c r="J295">
        <v>15.68</v>
      </c>
      <c r="K295">
        <v>60.42</v>
      </c>
      <c r="L295">
        <v>0.03</v>
      </c>
      <c r="M295">
        <v>936.39</v>
      </c>
      <c r="N295">
        <v>20.55</v>
      </c>
      <c r="O295">
        <v>354.17</v>
      </c>
      <c r="P295">
        <v>0.21</v>
      </c>
    </row>
    <row r="296" spans="1:16" x14ac:dyDescent="0.35">
      <c r="A296" s="1">
        <v>40593</v>
      </c>
      <c r="B296" s="2">
        <v>0.29166666666666669</v>
      </c>
      <c r="D296">
        <v>90.49</v>
      </c>
      <c r="E296">
        <v>0.44</v>
      </c>
      <c r="F296">
        <v>30.52</v>
      </c>
      <c r="G296">
        <v>9.5399999999999991</v>
      </c>
      <c r="H296">
        <v>40.06</v>
      </c>
      <c r="I296">
        <v>0.7</v>
      </c>
      <c r="J296">
        <v>22.06</v>
      </c>
      <c r="K296">
        <v>39.96</v>
      </c>
      <c r="L296">
        <v>0.48</v>
      </c>
      <c r="M296">
        <v>892.86</v>
      </c>
      <c r="N296">
        <v>21.87</v>
      </c>
      <c r="O296">
        <v>353.31</v>
      </c>
      <c r="P296">
        <v>0.75</v>
      </c>
    </row>
    <row r="297" spans="1:16" x14ac:dyDescent="0.35">
      <c r="A297" s="1">
        <v>40593</v>
      </c>
      <c r="B297" s="2">
        <v>0.33333333333333331</v>
      </c>
      <c r="D297">
        <v>79.209999999999994</v>
      </c>
      <c r="E297">
        <v>0.47</v>
      </c>
      <c r="F297">
        <v>4.88</v>
      </c>
      <c r="G297">
        <v>5.83</v>
      </c>
      <c r="H297">
        <v>10.7</v>
      </c>
      <c r="I297">
        <v>5.68</v>
      </c>
      <c r="J297">
        <v>16.18</v>
      </c>
      <c r="K297">
        <v>32.24</v>
      </c>
      <c r="L297">
        <v>2.5</v>
      </c>
      <c r="M297">
        <v>780.35</v>
      </c>
      <c r="N297">
        <v>24.42</v>
      </c>
      <c r="O297">
        <v>333.42</v>
      </c>
      <c r="P297">
        <v>1.51</v>
      </c>
    </row>
    <row r="298" spans="1:16" x14ac:dyDescent="0.35">
      <c r="A298" s="1">
        <v>40593</v>
      </c>
      <c r="B298" s="2">
        <v>0.375</v>
      </c>
      <c r="D298">
        <v>70.92</v>
      </c>
      <c r="E298">
        <v>0.49</v>
      </c>
      <c r="F298">
        <v>1.05</v>
      </c>
      <c r="G298">
        <v>3.45</v>
      </c>
      <c r="H298">
        <v>4.5</v>
      </c>
      <c r="I298">
        <v>13.11</v>
      </c>
      <c r="J298">
        <v>15.89</v>
      </c>
      <c r="K298">
        <v>35.79</v>
      </c>
      <c r="L298">
        <v>1.57</v>
      </c>
      <c r="M298">
        <v>699.09</v>
      </c>
      <c r="N298">
        <v>26.21</v>
      </c>
      <c r="O298">
        <v>335.68</v>
      </c>
      <c r="P298">
        <v>2.09</v>
      </c>
    </row>
    <row r="299" spans="1:16" x14ac:dyDescent="0.35">
      <c r="A299" s="1">
        <v>40593</v>
      </c>
      <c r="B299" s="2">
        <v>0.41666666666666669</v>
      </c>
      <c r="D299">
        <v>64.98</v>
      </c>
      <c r="E299">
        <v>0.43</v>
      </c>
      <c r="F299">
        <v>-0.37</v>
      </c>
      <c r="G299">
        <v>3.35</v>
      </c>
      <c r="H299">
        <v>2.99</v>
      </c>
      <c r="I299">
        <v>20.09</v>
      </c>
      <c r="J299">
        <v>19.45</v>
      </c>
      <c r="K299">
        <v>25.55</v>
      </c>
      <c r="L299">
        <v>0.48</v>
      </c>
      <c r="M299">
        <v>639.69000000000005</v>
      </c>
      <c r="N299">
        <v>27.6</v>
      </c>
      <c r="O299">
        <v>336.89</v>
      </c>
      <c r="P299">
        <v>2.54</v>
      </c>
    </row>
    <row r="300" spans="1:16" x14ac:dyDescent="0.35">
      <c r="A300" s="1">
        <v>40593</v>
      </c>
      <c r="B300" s="2">
        <v>0.45833333333333331</v>
      </c>
      <c r="D300">
        <v>60.5</v>
      </c>
      <c r="E300">
        <v>0.51</v>
      </c>
      <c r="F300">
        <v>-0.62</v>
      </c>
      <c r="G300">
        <v>3.58</v>
      </c>
      <c r="H300">
        <v>2.95</v>
      </c>
      <c r="I300">
        <v>24.97</v>
      </c>
      <c r="J300">
        <v>19.510000000000002</v>
      </c>
      <c r="K300">
        <v>40.71</v>
      </c>
      <c r="L300">
        <v>0.56999999999999995</v>
      </c>
      <c r="M300">
        <v>594.91999999999996</v>
      </c>
      <c r="N300">
        <v>28.99</v>
      </c>
      <c r="O300">
        <v>351.02</v>
      </c>
      <c r="P300">
        <v>1.81</v>
      </c>
    </row>
    <row r="301" spans="1:16" x14ac:dyDescent="0.35">
      <c r="A301" s="1">
        <v>40593</v>
      </c>
      <c r="B301" s="2">
        <v>0.5</v>
      </c>
      <c r="D301">
        <v>54.07</v>
      </c>
      <c r="E301">
        <v>0.56000000000000005</v>
      </c>
      <c r="F301">
        <v>-0.49</v>
      </c>
      <c r="G301">
        <v>3.89</v>
      </c>
      <c r="H301">
        <v>3.4</v>
      </c>
      <c r="I301">
        <v>25.68</v>
      </c>
      <c r="J301">
        <v>19.52</v>
      </c>
      <c r="K301">
        <v>32.35</v>
      </c>
      <c r="L301">
        <v>0.15</v>
      </c>
      <c r="M301">
        <v>532.26</v>
      </c>
      <c r="N301">
        <v>30.73</v>
      </c>
      <c r="O301">
        <v>347.19</v>
      </c>
      <c r="P301">
        <v>2.46</v>
      </c>
    </row>
    <row r="302" spans="1:16" x14ac:dyDescent="0.35">
      <c r="A302" s="1">
        <v>40593</v>
      </c>
      <c r="B302" s="2">
        <v>0.54166666666666663</v>
      </c>
      <c r="D302">
        <v>45.13</v>
      </c>
      <c r="E302">
        <v>0.49</v>
      </c>
      <c r="F302">
        <v>-0.56999999999999995</v>
      </c>
      <c r="G302">
        <v>3.57</v>
      </c>
      <c r="H302">
        <v>3.01</v>
      </c>
      <c r="I302">
        <v>26.87</v>
      </c>
      <c r="J302">
        <v>23.64</v>
      </c>
      <c r="K302">
        <v>27.42</v>
      </c>
      <c r="L302">
        <v>-0.12</v>
      </c>
      <c r="M302">
        <v>444.54</v>
      </c>
      <c r="N302">
        <v>33.58</v>
      </c>
      <c r="O302">
        <v>341</v>
      </c>
      <c r="P302">
        <v>3.5</v>
      </c>
    </row>
    <row r="303" spans="1:16" x14ac:dyDescent="0.35">
      <c r="A303" s="1">
        <v>40593</v>
      </c>
      <c r="B303" s="2">
        <v>0.58333333333333337</v>
      </c>
      <c r="D303">
        <v>40.32</v>
      </c>
      <c r="E303">
        <v>0.42</v>
      </c>
      <c r="F303">
        <v>-0.27</v>
      </c>
      <c r="G303">
        <v>3.46</v>
      </c>
      <c r="H303">
        <v>3.19</v>
      </c>
      <c r="I303">
        <v>28.48</v>
      </c>
      <c r="J303">
        <v>19.399999999999999</v>
      </c>
      <c r="K303">
        <v>25.87</v>
      </c>
      <c r="L303">
        <v>-0.06</v>
      </c>
      <c r="M303">
        <v>394.58</v>
      </c>
      <c r="N303">
        <v>35.229999999999997</v>
      </c>
      <c r="O303">
        <v>331.8</v>
      </c>
      <c r="P303">
        <v>3.67</v>
      </c>
    </row>
    <row r="304" spans="1:16" x14ac:dyDescent="0.35">
      <c r="A304" s="1">
        <v>40593</v>
      </c>
      <c r="B304" s="2">
        <v>0.625</v>
      </c>
      <c r="D304">
        <v>33.590000000000003</v>
      </c>
      <c r="E304">
        <v>0.26</v>
      </c>
      <c r="F304">
        <v>-0.35</v>
      </c>
      <c r="G304">
        <v>3.22</v>
      </c>
      <c r="H304">
        <v>2.87</v>
      </c>
      <c r="I304">
        <v>34.9</v>
      </c>
      <c r="J304">
        <v>14.72</v>
      </c>
      <c r="K304">
        <v>25.84</v>
      </c>
      <c r="L304">
        <v>0.11</v>
      </c>
      <c r="M304">
        <v>326.93</v>
      </c>
      <c r="N304">
        <v>36.479999999999997</v>
      </c>
      <c r="O304">
        <v>329.74</v>
      </c>
      <c r="P304">
        <v>3.88</v>
      </c>
    </row>
    <row r="305" spans="1:16" x14ac:dyDescent="0.35">
      <c r="A305" s="1">
        <v>40593</v>
      </c>
      <c r="B305" s="2">
        <v>0.66666666666666663</v>
      </c>
      <c r="D305">
        <v>32.44</v>
      </c>
      <c r="E305">
        <v>0.21</v>
      </c>
      <c r="F305">
        <v>-0.52</v>
      </c>
      <c r="G305">
        <v>3.8</v>
      </c>
      <c r="H305">
        <v>3.28</v>
      </c>
      <c r="I305">
        <v>34.43</v>
      </c>
      <c r="J305">
        <v>18.260000000000002</v>
      </c>
      <c r="K305">
        <v>23.38</v>
      </c>
      <c r="L305">
        <v>0.19</v>
      </c>
      <c r="M305">
        <v>314.77999999999997</v>
      </c>
      <c r="N305">
        <v>36.89</v>
      </c>
      <c r="O305">
        <v>336.56</v>
      </c>
      <c r="P305">
        <v>3.54</v>
      </c>
    </row>
    <row r="306" spans="1:16" x14ac:dyDescent="0.35">
      <c r="A306" s="1">
        <v>40593</v>
      </c>
      <c r="B306" s="2">
        <v>0.70833333333333337</v>
      </c>
      <c r="D306">
        <v>30.23</v>
      </c>
      <c r="E306">
        <v>0.16</v>
      </c>
      <c r="F306">
        <v>-0.44</v>
      </c>
      <c r="G306">
        <v>4.3499999999999996</v>
      </c>
      <c r="H306">
        <v>3.91</v>
      </c>
      <c r="I306">
        <v>35.590000000000003</v>
      </c>
      <c r="J306">
        <v>9.8800000000000008</v>
      </c>
      <c r="K306">
        <v>29.68</v>
      </c>
      <c r="L306">
        <v>0.92</v>
      </c>
      <c r="M306">
        <v>292.37</v>
      </c>
      <c r="N306">
        <v>36.880000000000003</v>
      </c>
      <c r="O306">
        <v>304.10000000000002</v>
      </c>
      <c r="P306">
        <v>2.0699999999999998</v>
      </c>
    </row>
    <row r="307" spans="1:16" x14ac:dyDescent="0.35">
      <c r="A307" s="1">
        <v>40593</v>
      </c>
      <c r="B307" s="2">
        <v>0.75</v>
      </c>
      <c r="D307">
        <v>30.42</v>
      </c>
      <c r="E307">
        <v>0.16</v>
      </c>
      <c r="F307">
        <v>-0.67</v>
      </c>
      <c r="G307">
        <v>6.73</v>
      </c>
      <c r="H307">
        <v>6.05</v>
      </c>
      <c r="I307">
        <v>33.83</v>
      </c>
      <c r="J307">
        <v>19.63</v>
      </c>
      <c r="K307">
        <v>30.32</v>
      </c>
      <c r="L307">
        <v>2.69</v>
      </c>
      <c r="M307">
        <v>294.52999999999997</v>
      </c>
      <c r="N307">
        <v>36.14</v>
      </c>
      <c r="O307">
        <v>305.45999999999998</v>
      </c>
      <c r="P307">
        <v>2.17</v>
      </c>
    </row>
    <row r="308" spans="1:16" x14ac:dyDescent="0.35">
      <c r="A308" s="1">
        <v>40593</v>
      </c>
      <c r="B308" s="2">
        <v>0.79166666666666663</v>
      </c>
      <c r="D308">
        <v>32.22</v>
      </c>
      <c r="E308">
        <v>0.16</v>
      </c>
      <c r="F308">
        <v>-0.91</v>
      </c>
      <c r="G308">
        <v>8.1999999999999993</v>
      </c>
      <c r="H308">
        <v>7.29</v>
      </c>
      <c r="I308">
        <v>28.09</v>
      </c>
      <c r="J308">
        <v>20.43</v>
      </c>
      <c r="K308">
        <v>29.91</v>
      </c>
      <c r="L308">
        <v>2.93</v>
      </c>
      <c r="M308">
        <v>312.86</v>
      </c>
      <c r="N308">
        <v>35.21</v>
      </c>
      <c r="O308">
        <v>310.08</v>
      </c>
      <c r="P308">
        <v>1.65</v>
      </c>
    </row>
    <row r="309" spans="1:16" x14ac:dyDescent="0.35">
      <c r="A309" s="1">
        <v>40593</v>
      </c>
      <c r="B309" s="2">
        <v>0.83333333333333337</v>
      </c>
      <c r="D309">
        <v>41.44</v>
      </c>
      <c r="E309">
        <v>0.18</v>
      </c>
      <c r="F309">
        <v>-0.77</v>
      </c>
      <c r="G309">
        <v>13.22</v>
      </c>
      <c r="H309">
        <v>12.45</v>
      </c>
      <c r="I309">
        <v>18.09</v>
      </c>
      <c r="J309">
        <v>22.27</v>
      </c>
      <c r="K309">
        <v>70.8</v>
      </c>
      <c r="L309">
        <v>0.65</v>
      </c>
      <c r="M309">
        <v>403.33</v>
      </c>
      <c r="N309">
        <v>32.39</v>
      </c>
      <c r="O309">
        <v>348.68</v>
      </c>
      <c r="P309">
        <v>0.28000000000000003</v>
      </c>
    </row>
    <row r="310" spans="1:16" x14ac:dyDescent="0.35">
      <c r="A310" s="1">
        <v>40593</v>
      </c>
      <c r="B310" s="2">
        <v>0.875</v>
      </c>
      <c r="D310">
        <v>49.67</v>
      </c>
      <c r="E310">
        <v>0.27</v>
      </c>
      <c r="F310">
        <v>1.64</v>
      </c>
      <c r="G310">
        <v>21.34</v>
      </c>
      <c r="H310">
        <v>22.98</v>
      </c>
      <c r="I310">
        <v>6.39</v>
      </c>
      <c r="J310">
        <v>26.77</v>
      </c>
      <c r="K310">
        <v>23.62</v>
      </c>
      <c r="L310">
        <v>0.47</v>
      </c>
      <c r="M310">
        <v>485.17</v>
      </c>
      <c r="N310">
        <v>30.68</v>
      </c>
      <c r="O310">
        <v>352.53</v>
      </c>
      <c r="P310">
        <v>0.85</v>
      </c>
    </row>
    <row r="311" spans="1:16" x14ac:dyDescent="0.35">
      <c r="A311" s="1">
        <v>40593</v>
      </c>
      <c r="B311" s="2">
        <v>0.91666666666666663</v>
      </c>
      <c r="D311">
        <v>57.79</v>
      </c>
      <c r="E311">
        <v>0.25</v>
      </c>
      <c r="F311">
        <v>-0.59</v>
      </c>
      <c r="G311">
        <v>15.56</v>
      </c>
      <c r="H311">
        <v>14.97</v>
      </c>
      <c r="I311">
        <v>11.47</v>
      </c>
      <c r="J311">
        <v>23.32</v>
      </c>
      <c r="K311">
        <v>101.98</v>
      </c>
      <c r="L311">
        <v>0.52</v>
      </c>
      <c r="M311">
        <v>565.84</v>
      </c>
      <c r="N311">
        <v>29.34</v>
      </c>
      <c r="O311">
        <v>35.46</v>
      </c>
      <c r="P311">
        <v>0.09</v>
      </c>
    </row>
    <row r="312" spans="1:16" x14ac:dyDescent="0.35">
      <c r="A312" s="1">
        <v>40593</v>
      </c>
      <c r="B312" s="2">
        <v>0.95833333333333337</v>
      </c>
      <c r="D312">
        <v>63.98</v>
      </c>
      <c r="E312">
        <v>0.27</v>
      </c>
      <c r="F312">
        <v>8.0299999999999994</v>
      </c>
      <c r="G312">
        <v>19.760000000000002</v>
      </c>
      <c r="H312">
        <v>27.79</v>
      </c>
      <c r="I312">
        <v>4.3899999999999997</v>
      </c>
      <c r="J312">
        <v>21.83</v>
      </c>
      <c r="K312">
        <v>80.819999999999993</v>
      </c>
      <c r="L312">
        <v>0.47</v>
      </c>
      <c r="M312">
        <v>627.63</v>
      </c>
      <c r="N312">
        <v>28.14</v>
      </c>
      <c r="O312">
        <v>340.89</v>
      </c>
      <c r="P312">
        <v>0.43</v>
      </c>
    </row>
    <row r="313" spans="1:16" x14ac:dyDescent="0.35">
      <c r="A313" s="1">
        <v>40593</v>
      </c>
      <c r="B313" s="18">
        <v>0</v>
      </c>
      <c r="D313">
        <v>64.53</v>
      </c>
      <c r="E313">
        <v>0.24</v>
      </c>
      <c r="F313">
        <v>5.58</v>
      </c>
      <c r="G313">
        <v>21.17</v>
      </c>
      <c r="H313">
        <v>26.75</v>
      </c>
      <c r="I313">
        <v>0.71</v>
      </c>
      <c r="J313">
        <v>16.96</v>
      </c>
      <c r="K313">
        <v>79.209999999999994</v>
      </c>
      <c r="L313">
        <v>0.45</v>
      </c>
      <c r="M313">
        <v>633.12</v>
      </c>
      <c r="N313">
        <v>27.79</v>
      </c>
      <c r="O313">
        <v>116.43</v>
      </c>
      <c r="P313">
        <v>0.14000000000000001</v>
      </c>
    </row>
    <row r="314" spans="1:16" x14ac:dyDescent="0.35">
      <c r="A314" s="1">
        <v>40594</v>
      </c>
      <c r="B314" s="2">
        <v>4.1666666666666664E-2</v>
      </c>
      <c r="D314">
        <v>65.650000000000006</v>
      </c>
      <c r="E314">
        <v>0.21</v>
      </c>
      <c r="F314">
        <v>0.97</v>
      </c>
      <c r="G314">
        <v>18.54</v>
      </c>
      <c r="H314">
        <v>19.510000000000002</v>
      </c>
      <c r="I314">
        <v>1.1100000000000001</v>
      </c>
      <c r="J314">
        <v>15.11</v>
      </c>
      <c r="K314">
        <v>79.69</v>
      </c>
      <c r="L314">
        <v>0.13</v>
      </c>
      <c r="M314">
        <v>644.28</v>
      </c>
      <c r="N314">
        <v>27.38</v>
      </c>
      <c r="O314">
        <v>154.16</v>
      </c>
      <c r="P314">
        <v>0.16</v>
      </c>
    </row>
    <row r="315" spans="1:16" x14ac:dyDescent="0.35">
      <c r="A315" s="1">
        <v>40594</v>
      </c>
      <c r="B315" s="2">
        <v>8.3333333333333329E-2</v>
      </c>
      <c r="D315">
        <v>65.95</v>
      </c>
      <c r="E315">
        <v>0.2</v>
      </c>
      <c r="F315">
        <v>0.92</v>
      </c>
      <c r="G315">
        <v>17.5</v>
      </c>
      <c r="H315">
        <v>18.43</v>
      </c>
      <c r="I315">
        <v>0.89</v>
      </c>
      <c r="J315">
        <v>11.68</v>
      </c>
      <c r="K315">
        <v>79.61</v>
      </c>
      <c r="L315">
        <v>-0.08</v>
      </c>
      <c r="M315">
        <v>647.36</v>
      </c>
      <c r="N315">
        <v>27.19</v>
      </c>
      <c r="O315">
        <v>40.590000000000003</v>
      </c>
      <c r="P315">
        <v>0.16</v>
      </c>
    </row>
    <row r="316" spans="1:16" x14ac:dyDescent="0.35">
      <c r="A316" s="1">
        <v>40594</v>
      </c>
      <c r="B316" s="2">
        <v>0.125</v>
      </c>
      <c r="D316">
        <v>67.14</v>
      </c>
      <c r="E316">
        <v>0.19</v>
      </c>
      <c r="F316">
        <v>-0.11</v>
      </c>
      <c r="G316">
        <v>13.74</v>
      </c>
      <c r="H316">
        <v>13.63</v>
      </c>
      <c r="I316">
        <v>2.83</v>
      </c>
      <c r="J316">
        <v>13.28</v>
      </c>
      <c r="K316">
        <v>53.77</v>
      </c>
      <c r="L316">
        <v>-0.06</v>
      </c>
      <c r="M316">
        <v>659.04</v>
      </c>
      <c r="N316">
        <v>26.92</v>
      </c>
      <c r="O316">
        <v>355.87</v>
      </c>
      <c r="P316">
        <v>0.39</v>
      </c>
    </row>
    <row r="317" spans="1:16" x14ac:dyDescent="0.35">
      <c r="A317" s="1">
        <v>40594</v>
      </c>
      <c r="B317" s="2">
        <v>0.16666666666666666</v>
      </c>
      <c r="D317">
        <v>70.89</v>
      </c>
      <c r="E317">
        <v>0.19</v>
      </c>
      <c r="F317">
        <v>0.69</v>
      </c>
      <c r="G317">
        <v>14.38</v>
      </c>
      <c r="H317">
        <v>15.06</v>
      </c>
      <c r="I317">
        <v>1.0900000000000001</v>
      </c>
      <c r="J317">
        <v>16.86</v>
      </c>
      <c r="K317">
        <v>68.12</v>
      </c>
      <c r="L317">
        <v>-0.14000000000000001</v>
      </c>
      <c r="M317">
        <v>696.92</v>
      </c>
      <c r="N317">
        <v>26.21</v>
      </c>
      <c r="O317">
        <v>333.39</v>
      </c>
      <c r="P317">
        <v>0.34</v>
      </c>
    </row>
    <row r="318" spans="1:16" x14ac:dyDescent="0.35">
      <c r="A318" s="1">
        <v>40594</v>
      </c>
      <c r="B318" s="2">
        <v>0.20833333333333334</v>
      </c>
      <c r="D318">
        <v>69.33</v>
      </c>
      <c r="E318">
        <v>0.18</v>
      </c>
      <c r="F318">
        <v>-0.05</v>
      </c>
      <c r="G318">
        <v>12.66</v>
      </c>
      <c r="H318">
        <v>12.61</v>
      </c>
      <c r="I318">
        <v>2.87</v>
      </c>
      <c r="J318">
        <v>12.43</v>
      </c>
      <c r="K318">
        <v>86.9</v>
      </c>
      <c r="L318">
        <v>-0.25</v>
      </c>
      <c r="M318">
        <v>680.94</v>
      </c>
      <c r="N318">
        <v>26.18</v>
      </c>
      <c r="O318">
        <v>303.02</v>
      </c>
      <c r="P318">
        <v>0.19</v>
      </c>
    </row>
    <row r="319" spans="1:16" x14ac:dyDescent="0.35">
      <c r="A319" s="1">
        <v>40594</v>
      </c>
      <c r="B319" s="2">
        <v>0.25</v>
      </c>
      <c r="D319">
        <v>70.8</v>
      </c>
      <c r="E319">
        <v>0.19</v>
      </c>
      <c r="F319">
        <v>-0.85</v>
      </c>
      <c r="G319">
        <v>12.63</v>
      </c>
      <c r="H319">
        <v>11.79</v>
      </c>
      <c r="I319">
        <v>3.47</v>
      </c>
      <c r="J319">
        <v>15.12</v>
      </c>
      <c r="K319">
        <v>61.84</v>
      </c>
      <c r="L319">
        <v>-0.4</v>
      </c>
      <c r="M319">
        <v>695.92</v>
      </c>
      <c r="N319">
        <v>25.58</v>
      </c>
      <c r="O319">
        <v>143.25</v>
      </c>
      <c r="P319">
        <v>0.32</v>
      </c>
    </row>
    <row r="320" spans="1:16" x14ac:dyDescent="0.35">
      <c r="A320" s="1">
        <v>40594</v>
      </c>
      <c r="B320" s="2">
        <v>0.29166666666666669</v>
      </c>
      <c r="D320">
        <v>67.78</v>
      </c>
      <c r="E320">
        <v>0.19</v>
      </c>
      <c r="F320">
        <v>7.22</v>
      </c>
      <c r="G320">
        <v>13.36</v>
      </c>
      <c r="H320">
        <v>20.57</v>
      </c>
      <c r="I320">
        <v>3.68</v>
      </c>
      <c r="J320">
        <v>17.39</v>
      </c>
      <c r="K320">
        <v>66.22</v>
      </c>
      <c r="L320">
        <v>-0.34</v>
      </c>
      <c r="M320">
        <v>666.04</v>
      </c>
      <c r="N320">
        <v>26.82</v>
      </c>
      <c r="O320">
        <v>335.57</v>
      </c>
      <c r="P320">
        <v>0.43</v>
      </c>
    </row>
    <row r="321" spans="1:16" x14ac:dyDescent="0.35">
      <c r="A321" s="1">
        <v>40594</v>
      </c>
      <c r="B321" s="2">
        <v>0.33333333333333331</v>
      </c>
      <c r="D321">
        <v>54.57</v>
      </c>
      <c r="E321">
        <v>0.11</v>
      </c>
      <c r="F321">
        <v>-0.4</v>
      </c>
      <c r="G321">
        <v>5.62</v>
      </c>
      <c r="H321">
        <v>5.23</v>
      </c>
      <c r="I321">
        <v>18.61</v>
      </c>
      <c r="J321">
        <v>8.4600000000000009</v>
      </c>
      <c r="K321">
        <v>21.27</v>
      </c>
      <c r="L321">
        <v>-0.18</v>
      </c>
      <c r="M321">
        <v>534.04</v>
      </c>
      <c r="N321">
        <v>30.29</v>
      </c>
      <c r="O321">
        <v>318.82</v>
      </c>
      <c r="P321">
        <v>1.87</v>
      </c>
    </row>
    <row r="322" spans="1:16" x14ac:dyDescent="0.35">
      <c r="A322" s="1">
        <v>40594</v>
      </c>
      <c r="B322" s="2">
        <v>0.375</v>
      </c>
      <c r="D322">
        <v>48.84</v>
      </c>
      <c r="E322">
        <v>0.11</v>
      </c>
      <c r="F322">
        <v>-0.65</v>
      </c>
      <c r="G322">
        <v>3.65</v>
      </c>
      <c r="H322">
        <v>3</v>
      </c>
      <c r="I322">
        <v>26.58</v>
      </c>
      <c r="J322">
        <v>8.77</v>
      </c>
      <c r="K322">
        <v>26.35</v>
      </c>
      <c r="L322">
        <v>-0.21</v>
      </c>
      <c r="M322">
        <v>477.02</v>
      </c>
      <c r="N322">
        <v>32.19</v>
      </c>
      <c r="O322">
        <v>313.16000000000003</v>
      </c>
      <c r="P322">
        <v>2.4500000000000002</v>
      </c>
    </row>
    <row r="323" spans="1:16" x14ac:dyDescent="0.35">
      <c r="A323" s="1">
        <v>40594</v>
      </c>
      <c r="B323" s="2">
        <v>0.41666666666666669</v>
      </c>
      <c r="D323">
        <v>44.21</v>
      </c>
      <c r="E323">
        <v>0.11</v>
      </c>
      <c r="F323">
        <v>-1.25</v>
      </c>
      <c r="G323">
        <v>2.69</v>
      </c>
      <c r="H323">
        <v>1.44</v>
      </c>
      <c r="I323">
        <v>31.46</v>
      </c>
      <c r="J323">
        <v>11.51</v>
      </c>
      <c r="K323">
        <v>39.71</v>
      </c>
      <c r="L323">
        <v>-0.11</v>
      </c>
      <c r="M323">
        <v>434.89</v>
      </c>
      <c r="N323">
        <v>33.369999999999997</v>
      </c>
      <c r="O323">
        <v>285.52</v>
      </c>
      <c r="P323">
        <v>1.49</v>
      </c>
    </row>
    <row r="324" spans="1:16" x14ac:dyDescent="0.35">
      <c r="A324" s="1">
        <v>40594</v>
      </c>
      <c r="B324" s="2">
        <v>0.45833333333333331</v>
      </c>
      <c r="D324">
        <v>41.43</v>
      </c>
      <c r="E324">
        <v>0.09</v>
      </c>
      <c r="F324">
        <v>-1.33</v>
      </c>
      <c r="G324">
        <v>2.41</v>
      </c>
      <c r="H324">
        <v>1.0900000000000001</v>
      </c>
      <c r="I324">
        <v>29.84</v>
      </c>
      <c r="J324">
        <v>6.1</v>
      </c>
      <c r="K324">
        <v>39.86</v>
      </c>
      <c r="L324">
        <v>-0.55000000000000004</v>
      </c>
      <c r="M324">
        <v>406.72</v>
      </c>
      <c r="N324">
        <v>33.79</v>
      </c>
      <c r="O324">
        <v>294.08</v>
      </c>
      <c r="P324">
        <v>1.74</v>
      </c>
    </row>
    <row r="325" spans="1:16" x14ac:dyDescent="0.35">
      <c r="A325" s="1">
        <v>40594</v>
      </c>
      <c r="B325" s="2">
        <v>0.5</v>
      </c>
      <c r="D325">
        <v>38.299999999999997</v>
      </c>
      <c r="E325">
        <v>0.1</v>
      </c>
      <c r="F325">
        <v>-1.26</v>
      </c>
      <c r="G325">
        <v>2.33</v>
      </c>
      <c r="H325">
        <v>1.07</v>
      </c>
      <c r="I325">
        <v>32.380000000000003</v>
      </c>
      <c r="J325">
        <v>10.28</v>
      </c>
      <c r="K325">
        <v>45.23</v>
      </c>
      <c r="L325">
        <v>-0.74</v>
      </c>
      <c r="M325">
        <v>375.08</v>
      </c>
      <c r="N325">
        <v>35.25</v>
      </c>
      <c r="O325">
        <v>270.89</v>
      </c>
      <c r="P325">
        <v>1.32</v>
      </c>
    </row>
    <row r="326" spans="1:16" x14ac:dyDescent="0.35">
      <c r="A326" s="1">
        <v>40594</v>
      </c>
      <c r="B326" s="2">
        <v>0.54166666666666663</v>
      </c>
      <c r="D326">
        <v>49.66</v>
      </c>
      <c r="E326">
        <v>0.21</v>
      </c>
      <c r="F326">
        <v>-0.3</v>
      </c>
      <c r="G326">
        <v>8.33</v>
      </c>
      <c r="H326">
        <v>8.0299999999999994</v>
      </c>
      <c r="I326">
        <v>44.13</v>
      </c>
      <c r="J326">
        <v>23.42</v>
      </c>
      <c r="K326">
        <v>56.54</v>
      </c>
      <c r="L326">
        <v>1.19</v>
      </c>
      <c r="M326">
        <v>485.82</v>
      </c>
      <c r="N326">
        <v>32.17</v>
      </c>
      <c r="O326">
        <v>123.9</v>
      </c>
      <c r="P326">
        <v>2.4300000000000002</v>
      </c>
    </row>
    <row r="327" spans="1:16" x14ac:dyDescent="0.35">
      <c r="A327" s="1">
        <v>40594</v>
      </c>
      <c r="B327" s="2">
        <v>0.58333333333333337</v>
      </c>
      <c r="D327">
        <v>51.62</v>
      </c>
      <c r="E327">
        <v>0.19</v>
      </c>
      <c r="F327">
        <v>-0.17</v>
      </c>
      <c r="G327">
        <v>8.27</v>
      </c>
      <c r="H327">
        <v>8.1</v>
      </c>
      <c r="I327">
        <v>49.17</v>
      </c>
      <c r="J327">
        <v>18.59</v>
      </c>
      <c r="K327">
        <v>38.020000000000003</v>
      </c>
      <c r="L327">
        <v>1.87</v>
      </c>
      <c r="M327">
        <v>505.76</v>
      </c>
      <c r="N327">
        <v>31.19</v>
      </c>
      <c r="O327">
        <v>122.88</v>
      </c>
      <c r="P327">
        <v>2.5</v>
      </c>
    </row>
    <row r="328" spans="1:16" x14ac:dyDescent="0.35">
      <c r="A328" s="1">
        <v>40594</v>
      </c>
      <c r="B328" s="2">
        <v>0.625</v>
      </c>
      <c r="D328">
        <v>50.04</v>
      </c>
      <c r="E328">
        <v>0.16</v>
      </c>
      <c r="F328">
        <v>-0.55000000000000004</v>
      </c>
      <c r="G328">
        <v>8.3800000000000008</v>
      </c>
      <c r="H328">
        <v>7.84</v>
      </c>
      <c r="I328">
        <v>53.98</v>
      </c>
      <c r="J328">
        <v>16.47</v>
      </c>
      <c r="K328">
        <v>24.45</v>
      </c>
      <c r="L328">
        <v>4.04</v>
      </c>
      <c r="M328">
        <v>489.7</v>
      </c>
      <c r="N328">
        <v>31.57</v>
      </c>
      <c r="O328">
        <v>121.34</v>
      </c>
      <c r="P328">
        <v>2.77</v>
      </c>
    </row>
    <row r="329" spans="1:16" x14ac:dyDescent="0.35">
      <c r="A329" s="1">
        <v>40594</v>
      </c>
      <c r="B329" s="2">
        <v>0.66666666666666663</v>
      </c>
      <c r="D329">
        <v>48.4</v>
      </c>
      <c r="E329">
        <v>0.16</v>
      </c>
      <c r="F329">
        <v>-0.68</v>
      </c>
      <c r="G329">
        <v>8.2100000000000009</v>
      </c>
      <c r="H329">
        <v>7.53</v>
      </c>
      <c r="I329">
        <v>60.16</v>
      </c>
      <c r="J329">
        <v>18.170000000000002</v>
      </c>
      <c r="K329">
        <v>40.159999999999997</v>
      </c>
      <c r="L329">
        <v>3.71</v>
      </c>
      <c r="M329">
        <v>473.46</v>
      </c>
      <c r="N329">
        <v>31.98</v>
      </c>
      <c r="O329">
        <v>119.59</v>
      </c>
      <c r="P329">
        <v>1.83</v>
      </c>
    </row>
    <row r="330" spans="1:16" x14ac:dyDescent="0.35">
      <c r="A330" s="1">
        <v>40594</v>
      </c>
      <c r="B330" s="2">
        <v>0.70833333333333337</v>
      </c>
      <c r="D330">
        <v>49.27</v>
      </c>
      <c r="E330">
        <v>0.17</v>
      </c>
      <c r="F330">
        <v>-0.73</v>
      </c>
      <c r="G330">
        <v>8.9</v>
      </c>
      <c r="H330">
        <v>8.18</v>
      </c>
      <c r="I330">
        <v>60.71</v>
      </c>
      <c r="J330">
        <v>21.74</v>
      </c>
      <c r="K330">
        <v>27.61</v>
      </c>
      <c r="L330">
        <v>2.62</v>
      </c>
      <c r="M330">
        <v>481.35</v>
      </c>
      <c r="N330">
        <v>31.64</v>
      </c>
      <c r="O330">
        <v>123.69</v>
      </c>
      <c r="P330">
        <v>2.12</v>
      </c>
    </row>
    <row r="331" spans="1:16" x14ac:dyDescent="0.35">
      <c r="A331" s="1">
        <v>40594</v>
      </c>
      <c r="B331" s="2">
        <v>0.75</v>
      </c>
      <c r="D331">
        <v>55.96</v>
      </c>
      <c r="E331">
        <v>0.17</v>
      </c>
      <c r="F331">
        <v>-1.05</v>
      </c>
      <c r="G331">
        <v>7.04</v>
      </c>
      <c r="H331">
        <v>5.99</v>
      </c>
      <c r="I331">
        <v>45.4</v>
      </c>
      <c r="J331">
        <v>18.170000000000002</v>
      </c>
      <c r="K331">
        <v>23.78</v>
      </c>
      <c r="L331">
        <v>0.53</v>
      </c>
      <c r="M331">
        <v>548.49</v>
      </c>
      <c r="N331">
        <v>29.62</v>
      </c>
      <c r="O331">
        <v>106.44</v>
      </c>
      <c r="P331">
        <v>2.08</v>
      </c>
    </row>
    <row r="332" spans="1:16" x14ac:dyDescent="0.35">
      <c r="A332" s="1">
        <v>40594</v>
      </c>
      <c r="B332" s="2">
        <v>0.79166666666666663</v>
      </c>
      <c r="D332">
        <v>59.86</v>
      </c>
      <c r="E332">
        <v>0.15</v>
      </c>
      <c r="F332">
        <v>-1.4</v>
      </c>
      <c r="G332">
        <v>6.03</v>
      </c>
      <c r="H332">
        <v>4.63</v>
      </c>
      <c r="I332">
        <v>38.5</v>
      </c>
      <c r="J332">
        <v>14.8</v>
      </c>
      <c r="K332">
        <v>49.7</v>
      </c>
      <c r="L332">
        <v>0.13</v>
      </c>
      <c r="M332">
        <v>587.53</v>
      </c>
      <c r="N332">
        <v>28.35</v>
      </c>
      <c r="O332">
        <v>92.03</v>
      </c>
      <c r="P332">
        <v>1.02</v>
      </c>
    </row>
    <row r="333" spans="1:16" x14ac:dyDescent="0.35">
      <c r="A333" s="1">
        <v>40594</v>
      </c>
      <c r="B333" s="2">
        <v>0.83333333333333337</v>
      </c>
      <c r="D333">
        <v>62.05</v>
      </c>
      <c r="E333">
        <v>0.13</v>
      </c>
      <c r="F333">
        <v>-1.1200000000000001</v>
      </c>
      <c r="G333">
        <v>9.77</v>
      </c>
      <c r="H333">
        <v>8.65</v>
      </c>
      <c r="I333">
        <v>29.92</v>
      </c>
      <c r="J333">
        <v>15.47</v>
      </c>
      <c r="K333">
        <v>23.29</v>
      </c>
      <c r="L333">
        <v>7.0000000000000007E-2</v>
      </c>
      <c r="M333">
        <v>608.70000000000005</v>
      </c>
      <c r="N333">
        <v>27.3</v>
      </c>
      <c r="O333">
        <v>122.91</v>
      </c>
      <c r="P333">
        <v>1.2</v>
      </c>
    </row>
    <row r="334" spans="1:16" x14ac:dyDescent="0.35">
      <c r="A334" s="1">
        <v>40594</v>
      </c>
      <c r="B334" s="2">
        <v>0.875</v>
      </c>
      <c r="D334">
        <v>68.84</v>
      </c>
      <c r="E334">
        <v>0.18</v>
      </c>
      <c r="F334">
        <v>-0.95</v>
      </c>
      <c r="G334">
        <v>13.23</v>
      </c>
      <c r="H334">
        <v>12.28</v>
      </c>
      <c r="I334">
        <v>20.07</v>
      </c>
      <c r="J334">
        <v>16.47</v>
      </c>
      <c r="K334">
        <v>77.849999999999994</v>
      </c>
      <c r="L334">
        <v>-0.17</v>
      </c>
      <c r="M334">
        <v>676.08</v>
      </c>
      <c r="N334">
        <v>25.83</v>
      </c>
      <c r="O334">
        <v>148.88</v>
      </c>
      <c r="P334">
        <v>0.32</v>
      </c>
    </row>
    <row r="335" spans="1:16" x14ac:dyDescent="0.35">
      <c r="A335" s="1">
        <v>40594</v>
      </c>
      <c r="B335" s="2">
        <v>0.91666666666666663</v>
      </c>
      <c r="D335">
        <v>73.3</v>
      </c>
      <c r="E335">
        <v>0.16</v>
      </c>
      <c r="F335">
        <v>-0.49</v>
      </c>
      <c r="G335">
        <v>20.69</v>
      </c>
      <c r="H335">
        <v>20.190000000000001</v>
      </c>
      <c r="I335">
        <v>8.41</v>
      </c>
      <c r="J335">
        <v>10.94</v>
      </c>
      <c r="K335">
        <v>94.87</v>
      </c>
      <c r="L335">
        <v>-0.27</v>
      </c>
      <c r="M335">
        <v>721.23</v>
      </c>
      <c r="N335">
        <v>24.4</v>
      </c>
      <c r="O335">
        <v>245.5</v>
      </c>
      <c r="P335">
        <v>0.11</v>
      </c>
    </row>
    <row r="336" spans="1:16" x14ac:dyDescent="0.35">
      <c r="A336" s="1">
        <v>40594</v>
      </c>
      <c r="B336" s="2">
        <v>0.95833333333333337</v>
      </c>
      <c r="D336">
        <v>52.29</v>
      </c>
      <c r="E336">
        <v>0.08</v>
      </c>
      <c r="F336">
        <v>-0.62</v>
      </c>
      <c r="G336">
        <v>12.14</v>
      </c>
      <c r="H336">
        <v>11.52</v>
      </c>
      <c r="I336">
        <v>13.92</v>
      </c>
      <c r="J336">
        <v>-7.32</v>
      </c>
      <c r="K336">
        <v>44.81</v>
      </c>
      <c r="L336">
        <v>-0.36</v>
      </c>
      <c r="M336">
        <v>511.7</v>
      </c>
      <c r="N336">
        <v>24.45</v>
      </c>
      <c r="O336">
        <v>212.52</v>
      </c>
      <c r="P336">
        <v>0.37</v>
      </c>
    </row>
    <row r="337" spans="1:16" x14ac:dyDescent="0.35">
      <c r="A337" s="1">
        <v>40594</v>
      </c>
      <c r="B337" s="18">
        <v>0</v>
      </c>
      <c r="D337">
        <v>57.63</v>
      </c>
      <c r="E337">
        <v>0.09</v>
      </c>
      <c r="F337">
        <v>-0.63</v>
      </c>
      <c r="G337">
        <v>11.8</v>
      </c>
      <c r="H337">
        <v>11.17</v>
      </c>
      <c r="I337">
        <v>12.79</v>
      </c>
      <c r="J337">
        <v>10.01</v>
      </c>
      <c r="K337">
        <v>85.98</v>
      </c>
      <c r="L337">
        <v>-0.5</v>
      </c>
      <c r="M337">
        <v>564.67999999999995</v>
      </c>
      <c r="N337">
        <v>23.1</v>
      </c>
      <c r="O337">
        <v>177.86</v>
      </c>
      <c r="P337">
        <v>0.44</v>
      </c>
    </row>
    <row r="338" spans="1:16" x14ac:dyDescent="0.35">
      <c r="A338" s="1">
        <v>40595</v>
      </c>
      <c r="B338" s="2">
        <v>4.1666666666666664E-2</v>
      </c>
      <c r="D338">
        <v>59.03</v>
      </c>
      <c r="E338">
        <v>0.16</v>
      </c>
      <c r="F338">
        <v>-1.07</v>
      </c>
      <c r="G338">
        <v>6.67</v>
      </c>
      <c r="H338">
        <v>5.61</v>
      </c>
      <c r="I338">
        <v>19.53</v>
      </c>
      <c r="J338">
        <v>15.55</v>
      </c>
      <c r="K338">
        <v>25.91</v>
      </c>
      <c r="L338">
        <v>0.11</v>
      </c>
      <c r="M338">
        <v>577.88</v>
      </c>
      <c r="N338">
        <v>23.29</v>
      </c>
      <c r="O338">
        <v>180.26</v>
      </c>
      <c r="P338">
        <v>1.59</v>
      </c>
    </row>
    <row r="339" spans="1:16" x14ac:dyDescent="0.35">
      <c r="A339" s="1">
        <v>40595</v>
      </c>
      <c r="B339" s="2">
        <v>8.3333333333333329E-2</v>
      </c>
      <c r="D339">
        <v>78.06</v>
      </c>
      <c r="E339">
        <v>0.33</v>
      </c>
      <c r="F339">
        <v>-1.24</v>
      </c>
      <c r="G339">
        <v>4.04</v>
      </c>
      <c r="H339">
        <v>2.79</v>
      </c>
      <c r="I339">
        <v>19.79</v>
      </c>
      <c r="J339">
        <v>24.13</v>
      </c>
      <c r="K339">
        <v>34.549999999999997</v>
      </c>
      <c r="L339">
        <v>1.1599999999999999</v>
      </c>
      <c r="M339">
        <v>768.33</v>
      </c>
      <c r="N339">
        <v>21.84</v>
      </c>
      <c r="O339">
        <v>186.3</v>
      </c>
      <c r="P339">
        <v>2.21</v>
      </c>
    </row>
    <row r="340" spans="1:16" x14ac:dyDescent="0.35">
      <c r="A340" s="1">
        <v>40595</v>
      </c>
      <c r="B340" s="2">
        <v>0.125</v>
      </c>
      <c r="D340">
        <v>79.69</v>
      </c>
      <c r="E340">
        <v>0.18</v>
      </c>
      <c r="F340">
        <v>-1.21</v>
      </c>
      <c r="G340">
        <v>1.99</v>
      </c>
      <c r="H340">
        <v>0.77</v>
      </c>
      <c r="I340">
        <v>20.54</v>
      </c>
      <c r="J340">
        <v>10.62</v>
      </c>
      <c r="K340">
        <v>31.29</v>
      </c>
      <c r="L340">
        <v>0.39</v>
      </c>
      <c r="M340">
        <v>784.71</v>
      </c>
      <c r="N340">
        <v>21.46</v>
      </c>
      <c r="O340">
        <v>175.14</v>
      </c>
      <c r="P340">
        <v>2.61</v>
      </c>
    </row>
    <row r="341" spans="1:16" x14ac:dyDescent="0.35">
      <c r="A341" s="1">
        <v>40595</v>
      </c>
      <c r="B341" s="2">
        <v>0.16666666666666666</v>
      </c>
      <c r="D341">
        <v>80.22</v>
      </c>
      <c r="E341">
        <v>0.22</v>
      </c>
      <c r="F341">
        <v>-1.18</v>
      </c>
      <c r="G341">
        <v>1.9</v>
      </c>
      <c r="H341">
        <v>0.72</v>
      </c>
      <c r="I341">
        <v>20.78</v>
      </c>
      <c r="J341">
        <v>12.72</v>
      </c>
      <c r="K341">
        <v>31.43</v>
      </c>
      <c r="L341">
        <v>0.16</v>
      </c>
      <c r="M341">
        <v>789.98</v>
      </c>
      <c r="N341">
        <v>20.95</v>
      </c>
      <c r="O341">
        <v>164.04</v>
      </c>
      <c r="P341">
        <v>2.27</v>
      </c>
    </row>
    <row r="342" spans="1:16" x14ac:dyDescent="0.35">
      <c r="A342" s="1">
        <v>40595</v>
      </c>
      <c r="B342" s="2">
        <v>0.20833333333333334</v>
      </c>
      <c r="D342">
        <v>81.03</v>
      </c>
      <c r="E342">
        <v>0.25</v>
      </c>
      <c r="F342">
        <v>-1.23</v>
      </c>
      <c r="G342">
        <v>2.88</v>
      </c>
      <c r="H342">
        <v>1.65</v>
      </c>
      <c r="I342">
        <v>20.07</v>
      </c>
      <c r="J342">
        <v>14.15</v>
      </c>
      <c r="K342">
        <v>26.12</v>
      </c>
      <c r="L342">
        <v>0.17</v>
      </c>
      <c r="M342">
        <v>798.14</v>
      </c>
      <c r="N342">
        <v>20.53</v>
      </c>
      <c r="O342">
        <v>153.06</v>
      </c>
      <c r="P342">
        <v>2.13</v>
      </c>
    </row>
    <row r="343" spans="1:16" x14ac:dyDescent="0.35">
      <c r="A343" s="1">
        <v>40595</v>
      </c>
      <c r="B343" s="2">
        <v>0.25</v>
      </c>
      <c r="D343">
        <v>80.8</v>
      </c>
      <c r="E343">
        <v>0.27</v>
      </c>
      <c r="F343">
        <v>-1.27</v>
      </c>
      <c r="G343">
        <v>5.26</v>
      </c>
      <c r="H343">
        <v>3.99</v>
      </c>
      <c r="I343">
        <v>17.5</v>
      </c>
      <c r="J343">
        <v>17.059999999999999</v>
      </c>
      <c r="K343">
        <v>30</v>
      </c>
      <c r="L343">
        <v>0.01</v>
      </c>
      <c r="M343">
        <v>795.81</v>
      </c>
      <c r="N343">
        <v>20.350000000000001</v>
      </c>
      <c r="O343">
        <v>172.46</v>
      </c>
      <c r="P343">
        <v>1.68</v>
      </c>
    </row>
    <row r="344" spans="1:16" x14ac:dyDescent="0.35">
      <c r="A344" s="1">
        <v>40595</v>
      </c>
      <c r="B344" s="2">
        <v>0.29166666666666669</v>
      </c>
      <c r="D344">
        <v>81.05</v>
      </c>
      <c r="E344">
        <v>0.25</v>
      </c>
      <c r="F344">
        <v>-0.76</v>
      </c>
      <c r="G344">
        <v>7.3</v>
      </c>
      <c r="H344">
        <v>6.54</v>
      </c>
      <c r="I344">
        <v>15.74</v>
      </c>
      <c r="J344">
        <v>16.260000000000002</v>
      </c>
      <c r="K344">
        <v>33.79</v>
      </c>
      <c r="L344">
        <v>0</v>
      </c>
      <c r="M344">
        <v>798.4</v>
      </c>
      <c r="N344">
        <v>20.34</v>
      </c>
      <c r="O344">
        <v>160.87</v>
      </c>
      <c r="P344">
        <v>1.36</v>
      </c>
    </row>
    <row r="345" spans="1:16" x14ac:dyDescent="0.35">
      <c r="A345" s="1">
        <v>40595</v>
      </c>
      <c r="B345" s="2">
        <v>0.33333333333333331</v>
      </c>
      <c r="D345">
        <v>77.05</v>
      </c>
      <c r="E345">
        <v>0.27</v>
      </c>
      <c r="F345">
        <v>0.42</v>
      </c>
      <c r="G345">
        <v>8.52</v>
      </c>
      <c r="H345">
        <v>8.94</v>
      </c>
      <c r="I345">
        <v>13.96</v>
      </c>
      <c r="J345">
        <v>18.7</v>
      </c>
      <c r="K345">
        <v>33.71</v>
      </c>
      <c r="L345">
        <v>0.03</v>
      </c>
      <c r="M345">
        <v>758.63</v>
      </c>
      <c r="N345">
        <v>21.02</v>
      </c>
      <c r="O345">
        <v>174.9</v>
      </c>
      <c r="P345">
        <v>1.22</v>
      </c>
    </row>
    <row r="346" spans="1:16" x14ac:dyDescent="0.35">
      <c r="A346" s="1">
        <v>40595</v>
      </c>
      <c r="B346" s="2">
        <v>0.375</v>
      </c>
      <c r="D346">
        <v>73.63</v>
      </c>
      <c r="E346">
        <v>0.27</v>
      </c>
      <c r="F346">
        <v>0.87</v>
      </c>
      <c r="G346">
        <v>7.95</v>
      </c>
      <c r="H346">
        <v>8.81</v>
      </c>
      <c r="I346">
        <v>14.45</v>
      </c>
      <c r="J346">
        <v>22.5</v>
      </c>
      <c r="K346">
        <v>33.93</v>
      </c>
      <c r="L346">
        <v>0.03</v>
      </c>
      <c r="M346">
        <v>724.84</v>
      </c>
      <c r="N346">
        <v>21.66</v>
      </c>
      <c r="O346">
        <v>172.43</v>
      </c>
      <c r="P346">
        <v>1.41</v>
      </c>
    </row>
    <row r="347" spans="1:16" x14ac:dyDescent="0.35">
      <c r="A347" s="1">
        <v>40595</v>
      </c>
      <c r="B347" s="2">
        <v>0.41666666666666669</v>
      </c>
      <c r="D347">
        <v>71.88</v>
      </c>
      <c r="E347">
        <v>0.28000000000000003</v>
      </c>
      <c r="F347">
        <v>1.03</v>
      </c>
      <c r="G347">
        <v>7.35</v>
      </c>
      <c r="H347">
        <v>8.39</v>
      </c>
      <c r="I347">
        <v>15.09</v>
      </c>
      <c r="J347">
        <v>21.86</v>
      </c>
      <c r="K347">
        <v>33.630000000000003</v>
      </c>
      <c r="L347">
        <v>0.15</v>
      </c>
      <c r="M347">
        <v>708.1</v>
      </c>
      <c r="N347">
        <v>22.15</v>
      </c>
      <c r="O347">
        <v>159.04</v>
      </c>
      <c r="P347">
        <v>1.68</v>
      </c>
    </row>
    <row r="348" spans="1:16" x14ac:dyDescent="0.35">
      <c r="A348" s="1">
        <v>40595</v>
      </c>
      <c r="B348" s="2">
        <v>0.45833333333333331</v>
      </c>
      <c r="D348">
        <v>65.790000000000006</v>
      </c>
      <c r="E348">
        <v>0.21</v>
      </c>
      <c r="F348">
        <v>0.64</v>
      </c>
      <c r="G348">
        <v>4.6100000000000003</v>
      </c>
      <c r="H348">
        <v>5.25</v>
      </c>
      <c r="I348">
        <v>20.010000000000002</v>
      </c>
      <c r="J348">
        <v>13.47</v>
      </c>
      <c r="K348">
        <v>34.28</v>
      </c>
      <c r="L348">
        <v>0.09</v>
      </c>
      <c r="M348">
        <v>647.86</v>
      </c>
      <c r="N348">
        <v>23.27</v>
      </c>
      <c r="O348">
        <v>143.72999999999999</v>
      </c>
      <c r="P348">
        <v>2.15</v>
      </c>
    </row>
    <row r="349" spans="1:16" x14ac:dyDescent="0.35">
      <c r="A349" s="1">
        <v>40595</v>
      </c>
      <c r="B349" s="2">
        <v>0.5</v>
      </c>
      <c r="D349">
        <v>58.52</v>
      </c>
      <c r="E349">
        <v>0.22</v>
      </c>
      <c r="F349">
        <v>1.1100000000000001</v>
      </c>
      <c r="G349">
        <v>5.65</v>
      </c>
      <c r="H349">
        <v>6.76</v>
      </c>
      <c r="I349">
        <v>25.12</v>
      </c>
      <c r="J349">
        <v>23.11</v>
      </c>
      <c r="K349">
        <v>31.38</v>
      </c>
      <c r="L349">
        <v>2.09</v>
      </c>
      <c r="M349">
        <v>575.95000000000005</v>
      </c>
      <c r="N349">
        <v>24.85</v>
      </c>
      <c r="O349">
        <v>130.96</v>
      </c>
      <c r="P349">
        <v>2.31</v>
      </c>
    </row>
    <row r="350" spans="1:16" x14ac:dyDescent="0.35">
      <c r="A350" s="1">
        <v>40595</v>
      </c>
      <c r="B350" s="2">
        <v>0.54166666666666663</v>
      </c>
      <c r="D350">
        <v>55.14</v>
      </c>
      <c r="E350">
        <v>0.23</v>
      </c>
      <c r="F350">
        <v>0.22</v>
      </c>
      <c r="G350">
        <v>4.79</v>
      </c>
      <c r="H350">
        <v>5.0199999999999996</v>
      </c>
      <c r="I350">
        <v>30.26</v>
      </c>
      <c r="J350">
        <v>24.18</v>
      </c>
      <c r="K350">
        <v>32.17</v>
      </c>
      <c r="L350">
        <v>1.4</v>
      </c>
      <c r="M350">
        <v>542.13</v>
      </c>
      <c r="N350">
        <v>25.58</v>
      </c>
      <c r="O350">
        <v>122.66</v>
      </c>
      <c r="P350">
        <v>2.5499999999999998</v>
      </c>
    </row>
    <row r="351" spans="1:16" x14ac:dyDescent="0.35">
      <c r="A351" s="1">
        <v>40595</v>
      </c>
      <c r="B351" s="2">
        <v>0.58333333333333337</v>
      </c>
      <c r="D351">
        <v>56.75</v>
      </c>
      <c r="E351">
        <v>0.26</v>
      </c>
      <c r="F351">
        <v>0.97</v>
      </c>
      <c r="G351">
        <v>6.4</v>
      </c>
      <c r="H351">
        <v>7.37</v>
      </c>
      <c r="I351">
        <v>29.98</v>
      </c>
      <c r="J351">
        <v>34.18</v>
      </c>
      <c r="K351">
        <v>26.94</v>
      </c>
      <c r="L351">
        <v>4.05</v>
      </c>
      <c r="M351">
        <v>557.69000000000005</v>
      </c>
      <c r="N351">
        <v>25.24</v>
      </c>
      <c r="O351">
        <v>125.12</v>
      </c>
      <c r="P351">
        <v>3.51</v>
      </c>
    </row>
    <row r="352" spans="1:16" x14ac:dyDescent="0.35">
      <c r="A352" s="1">
        <v>40595</v>
      </c>
      <c r="B352" s="2">
        <v>0.625</v>
      </c>
      <c r="D352">
        <v>62.66</v>
      </c>
      <c r="E352">
        <v>0.25</v>
      </c>
      <c r="F352">
        <v>0.73</v>
      </c>
      <c r="G352">
        <v>6.04</v>
      </c>
      <c r="H352">
        <v>6.77</v>
      </c>
      <c r="I352">
        <v>24.01</v>
      </c>
      <c r="J352">
        <v>33.07</v>
      </c>
      <c r="K352">
        <v>18.600000000000001</v>
      </c>
      <c r="L352">
        <v>1.37</v>
      </c>
      <c r="M352">
        <v>615.13</v>
      </c>
      <c r="N352">
        <v>23.46</v>
      </c>
      <c r="O352">
        <v>117.73</v>
      </c>
      <c r="P352">
        <v>4.17</v>
      </c>
    </row>
    <row r="353" spans="1:16" x14ac:dyDescent="0.35">
      <c r="A353" s="1">
        <v>40595</v>
      </c>
      <c r="B353" s="2">
        <v>0.66666666666666663</v>
      </c>
      <c r="D353">
        <v>66.12</v>
      </c>
      <c r="E353">
        <v>0.26</v>
      </c>
      <c r="F353">
        <v>1.1499999999999999</v>
      </c>
      <c r="G353">
        <v>7.47</v>
      </c>
      <c r="H353">
        <v>8.6199999999999992</v>
      </c>
      <c r="I353">
        <v>18.100000000000001</v>
      </c>
      <c r="J353">
        <v>31.18</v>
      </c>
      <c r="K353">
        <v>20.82</v>
      </c>
      <c r="L353">
        <v>3.55</v>
      </c>
      <c r="M353">
        <v>649.1</v>
      </c>
      <c r="N353">
        <v>22.23</v>
      </c>
      <c r="O353">
        <v>135.28</v>
      </c>
      <c r="P353">
        <v>4.25</v>
      </c>
    </row>
    <row r="354" spans="1:16" x14ac:dyDescent="0.35">
      <c r="A354" s="1">
        <v>40595</v>
      </c>
      <c r="B354" s="2">
        <v>0.70833333333333337</v>
      </c>
      <c r="D354">
        <v>70.19</v>
      </c>
      <c r="E354">
        <v>0.28999999999999998</v>
      </c>
      <c r="F354">
        <v>0.43</v>
      </c>
      <c r="G354">
        <v>6.34</v>
      </c>
      <c r="H354">
        <v>6.76</v>
      </c>
      <c r="I354">
        <v>18.04</v>
      </c>
      <c r="J354">
        <v>28.37</v>
      </c>
      <c r="K354">
        <v>21.15</v>
      </c>
      <c r="L354">
        <v>1.61</v>
      </c>
      <c r="M354">
        <v>689.65</v>
      </c>
      <c r="N354">
        <v>21.17</v>
      </c>
      <c r="O354">
        <v>138.9</v>
      </c>
      <c r="P354">
        <v>4.46</v>
      </c>
    </row>
    <row r="355" spans="1:16" x14ac:dyDescent="0.35">
      <c r="A355" s="1">
        <v>40595</v>
      </c>
      <c r="B355" s="2">
        <v>0.75</v>
      </c>
      <c r="D355">
        <v>69.599999999999994</v>
      </c>
      <c r="E355">
        <v>0.26</v>
      </c>
      <c r="F355">
        <v>-0.75</v>
      </c>
      <c r="G355">
        <v>5.54</v>
      </c>
      <c r="H355">
        <v>4.79</v>
      </c>
      <c r="I355">
        <v>19.190000000000001</v>
      </c>
      <c r="J355">
        <v>22.81</v>
      </c>
      <c r="K355">
        <v>20.28</v>
      </c>
      <c r="L355">
        <v>0.25</v>
      </c>
      <c r="M355">
        <v>684.1</v>
      </c>
      <c r="N355">
        <v>20.36</v>
      </c>
      <c r="O355">
        <v>138.11000000000001</v>
      </c>
      <c r="P355">
        <v>3.82</v>
      </c>
    </row>
    <row r="356" spans="1:16" x14ac:dyDescent="0.35">
      <c r="A356" s="1">
        <v>40595</v>
      </c>
      <c r="B356" s="2">
        <v>0.79166666666666663</v>
      </c>
      <c r="D356">
        <v>69.86</v>
      </c>
      <c r="E356">
        <v>0.2</v>
      </c>
      <c r="F356">
        <v>-0.87</v>
      </c>
      <c r="G356">
        <v>5.24</v>
      </c>
      <c r="H356">
        <v>4.38</v>
      </c>
      <c r="I356">
        <v>19.07</v>
      </c>
      <c r="J356">
        <v>20.420000000000002</v>
      </c>
      <c r="K356">
        <v>20.88</v>
      </c>
      <c r="L356">
        <v>0.69</v>
      </c>
      <c r="M356">
        <v>686.69</v>
      </c>
      <c r="N356">
        <v>19.89</v>
      </c>
      <c r="O356">
        <v>139.15</v>
      </c>
      <c r="P356">
        <v>3.83</v>
      </c>
    </row>
    <row r="357" spans="1:16" x14ac:dyDescent="0.35">
      <c r="A357" s="1">
        <v>40595</v>
      </c>
      <c r="B357" s="2">
        <v>0.83333333333333337</v>
      </c>
      <c r="D357">
        <v>64.989999999999995</v>
      </c>
      <c r="E357">
        <v>0.16</v>
      </c>
      <c r="F357">
        <v>-1.1399999999999999</v>
      </c>
      <c r="G357">
        <v>7.45</v>
      </c>
      <c r="H357">
        <v>6.31</v>
      </c>
      <c r="I357">
        <v>15.75</v>
      </c>
      <c r="J357">
        <v>18.079999999999998</v>
      </c>
      <c r="K357">
        <v>18.91</v>
      </c>
      <c r="L357">
        <v>5.28</v>
      </c>
      <c r="M357">
        <v>638.21</v>
      </c>
      <c r="N357">
        <v>20.05</v>
      </c>
      <c r="O357">
        <v>138.08000000000001</v>
      </c>
      <c r="P357">
        <v>3.3</v>
      </c>
    </row>
    <row r="358" spans="1:16" x14ac:dyDescent="0.35">
      <c r="A358" s="1">
        <v>40595</v>
      </c>
      <c r="B358" s="2">
        <v>0.875</v>
      </c>
      <c r="D358">
        <v>56.15</v>
      </c>
      <c r="E358">
        <v>0.12</v>
      </c>
      <c r="F358">
        <v>-1.05</v>
      </c>
      <c r="G358">
        <v>5.24</v>
      </c>
      <c r="H358">
        <v>4.2</v>
      </c>
      <c r="I358">
        <v>15.49</v>
      </c>
      <c r="J358">
        <v>16.72</v>
      </c>
      <c r="K358">
        <v>23.48</v>
      </c>
      <c r="L358">
        <v>2.4900000000000002</v>
      </c>
      <c r="M358">
        <v>549.79999999999995</v>
      </c>
      <c r="N358">
        <v>20.67</v>
      </c>
      <c r="O358">
        <v>140.02000000000001</v>
      </c>
      <c r="P358">
        <v>3.47</v>
      </c>
    </row>
    <row r="359" spans="1:16" x14ac:dyDescent="0.35">
      <c r="A359" s="1">
        <v>40595</v>
      </c>
      <c r="B359" s="2">
        <v>0.91666666666666663</v>
      </c>
      <c r="D359">
        <v>63.25</v>
      </c>
      <c r="E359">
        <v>0.19</v>
      </c>
      <c r="F359">
        <v>-0.95</v>
      </c>
      <c r="G359">
        <v>4.16</v>
      </c>
      <c r="H359">
        <v>3.21</v>
      </c>
      <c r="I359">
        <v>16.850000000000001</v>
      </c>
      <c r="J359">
        <v>25.95</v>
      </c>
      <c r="K359">
        <v>24.53</v>
      </c>
      <c r="L359">
        <v>1.32</v>
      </c>
      <c r="M359">
        <v>620.53</v>
      </c>
      <c r="N359">
        <v>19.97</v>
      </c>
      <c r="O359">
        <v>144.57</v>
      </c>
      <c r="P359">
        <v>3.02</v>
      </c>
    </row>
    <row r="360" spans="1:16" x14ac:dyDescent="0.35">
      <c r="A360" s="1">
        <v>40595</v>
      </c>
      <c r="B360" s="2">
        <v>0.95833333333333337</v>
      </c>
      <c r="D360">
        <v>60.24</v>
      </c>
      <c r="E360">
        <v>0.19</v>
      </c>
      <c r="F360">
        <v>-1.27</v>
      </c>
      <c r="G360">
        <v>3.78</v>
      </c>
      <c r="H360">
        <v>2.5099999999999998</v>
      </c>
      <c r="I360">
        <v>18.32</v>
      </c>
      <c r="J360">
        <v>24.58</v>
      </c>
      <c r="K360">
        <v>25.48</v>
      </c>
      <c r="L360">
        <v>0.84</v>
      </c>
      <c r="M360">
        <v>590.35</v>
      </c>
      <c r="N360">
        <v>19.86</v>
      </c>
      <c r="O360">
        <v>138.69</v>
      </c>
      <c r="P360">
        <v>3.21</v>
      </c>
    </row>
    <row r="361" spans="1:16" x14ac:dyDescent="0.35">
      <c r="A361" s="1">
        <v>40595</v>
      </c>
      <c r="B361" s="18">
        <v>0</v>
      </c>
      <c r="D361">
        <v>63.56</v>
      </c>
      <c r="E361">
        <v>0.2</v>
      </c>
      <c r="F361">
        <v>-1.3</v>
      </c>
      <c r="G361">
        <v>3.34</v>
      </c>
      <c r="H361">
        <v>2.04</v>
      </c>
      <c r="I361">
        <v>19.559999999999999</v>
      </c>
      <c r="J361">
        <v>23.47</v>
      </c>
      <c r="K361">
        <v>25.6</v>
      </c>
      <c r="L361">
        <v>1.67</v>
      </c>
      <c r="M361">
        <v>624.17999999999995</v>
      </c>
      <c r="N361">
        <v>19.13</v>
      </c>
      <c r="O361">
        <v>140.47</v>
      </c>
      <c r="P361">
        <v>3.14</v>
      </c>
    </row>
    <row r="362" spans="1:16" x14ac:dyDescent="0.35">
      <c r="A362" s="1">
        <v>40596</v>
      </c>
      <c r="B362" s="2">
        <v>4.1666666666666664E-2</v>
      </c>
      <c r="D362">
        <v>62.5</v>
      </c>
      <c r="E362">
        <v>0.18</v>
      </c>
      <c r="F362">
        <v>-1.35</v>
      </c>
      <c r="G362">
        <v>1.97</v>
      </c>
      <c r="H362">
        <v>0.62</v>
      </c>
      <c r="I362">
        <v>21.53</v>
      </c>
      <c r="J362">
        <v>20.91</v>
      </c>
      <c r="K362">
        <v>24.53</v>
      </c>
      <c r="L362">
        <v>0.26</v>
      </c>
      <c r="M362">
        <v>613.16999999999996</v>
      </c>
      <c r="N362">
        <v>18.760000000000002</v>
      </c>
      <c r="O362">
        <v>145.37</v>
      </c>
      <c r="P362">
        <v>2.99</v>
      </c>
    </row>
    <row r="363" spans="1:16" x14ac:dyDescent="0.35">
      <c r="A363" s="1">
        <v>40596</v>
      </c>
      <c r="B363" s="2">
        <v>8.3333333333333329E-2</v>
      </c>
      <c r="D363">
        <v>55.37</v>
      </c>
      <c r="E363">
        <v>0.18</v>
      </c>
      <c r="F363">
        <v>-1.54</v>
      </c>
      <c r="G363">
        <v>2.06</v>
      </c>
      <c r="H363">
        <v>0.53</v>
      </c>
      <c r="I363">
        <v>21.35</v>
      </c>
      <c r="J363">
        <v>19.62</v>
      </c>
      <c r="K363">
        <v>29.67</v>
      </c>
      <c r="L363">
        <v>-0.11</v>
      </c>
      <c r="M363">
        <v>542.33000000000004</v>
      </c>
      <c r="N363">
        <v>19.18</v>
      </c>
      <c r="O363">
        <v>152.29</v>
      </c>
      <c r="P363">
        <v>2.12</v>
      </c>
    </row>
    <row r="364" spans="1:16" x14ac:dyDescent="0.35">
      <c r="A364" s="1">
        <v>40596</v>
      </c>
      <c r="B364" s="2">
        <v>0.125</v>
      </c>
      <c r="D364">
        <v>53.73</v>
      </c>
      <c r="E364">
        <v>0.18</v>
      </c>
      <c r="F364">
        <v>-1.25</v>
      </c>
      <c r="G364">
        <v>1.96</v>
      </c>
      <c r="H364">
        <v>0.71</v>
      </c>
      <c r="I364">
        <v>21.18</v>
      </c>
      <c r="J364">
        <v>23.25</v>
      </c>
      <c r="K364">
        <v>29.28</v>
      </c>
      <c r="L364">
        <v>-0.1</v>
      </c>
      <c r="M364">
        <v>525.58000000000004</v>
      </c>
      <c r="N364">
        <v>19.07</v>
      </c>
      <c r="O364">
        <v>171.11</v>
      </c>
      <c r="P364">
        <v>2.2200000000000002</v>
      </c>
    </row>
    <row r="365" spans="1:16" x14ac:dyDescent="0.35">
      <c r="A365" s="1">
        <v>40596</v>
      </c>
      <c r="B365" s="2">
        <v>0.16666666666666666</v>
      </c>
      <c r="D365">
        <v>58.45</v>
      </c>
      <c r="E365">
        <v>0.19</v>
      </c>
      <c r="F365">
        <v>-1.35</v>
      </c>
      <c r="G365">
        <v>2.5499999999999998</v>
      </c>
      <c r="H365">
        <v>1.2</v>
      </c>
      <c r="I365">
        <v>20.48</v>
      </c>
      <c r="J365">
        <v>25.23</v>
      </c>
      <c r="K365">
        <v>37.14</v>
      </c>
      <c r="L365">
        <v>-0.14000000000000001</v>
      </c>
      <c r="M365">
        <v>572.74</v>
      </c>
      <c r="N365">
        <v>18.739999999999998</v>
      </c>
      <c r="O365">
        <v>161.26</v>
      </c>
      <c r="P365">
        <v>1.89</v>
      </c>
    </row>
    <row r="366" spans="1:16" x14ac:dyDescent="0.35">
      <c r="A366" s="1">
        <v>40596</v>
      </c>
      <c r="B366" s="2">
        <v>0.20833333333333334</v>
      </c>
      <c r="D366">
        <v>61.53</v>
      </c>
      <c r="E366">
        <v>0.24</v>
      </c>
      <c r="F366">
        <v>-1.0900000000000001</v>
      </c>
      <c r="G366">
        <v>8.68</v>
      </c>
      <c r="H366">
        <v>7.59</v>
      </c>
      <c r="I366">
        <v>12.5</v>
      </c>
      <c r="J366">
        <v>25.1</v>
      </c>
      <c r="K366">
        <v>31.88</v>
      </c>
      <c r="L366">
        <v>0.74</v>
      </c>
      <c r="M366">
        <v>603.47</v>
      </c>
      <c r="N366">
        <v>18.07</v>
      </c>
      <c r="O366">
        <v>215.57</v>
      </c>
      <c r="P366">
        <v>1.08</v>
      </c>
    </row>
    <row r="367" spans="1:16" x14ac:dyDescent="0.35">
      <c r="A367" s="1">
        <v>40596</v>
      </c>
      <c r="B367" s="2">
        <v>0.25</v>
      </c>
      <c r="D367">
        <v>61.89</v>
      </c>
      <c r="E367">
        <v>0.21</v>
      </c>
      <c r="F367">
        <v>-0.57999999999999996</v>
      </c>
      <c r="G367">
        <v>15.39</v>
      </c>
      <c r="H367">
        <v>14.81</v>
      </c>
      <c r="I367">
        <v>5.18</v>
      </c>
      <c r="J367">
        <v>22.93</v>
      </c>
      <c r="K367">
        <v>35.72</v>
      </c>
      <c r="L367">
        <v>0.32</v>
      </c>
      <c r="M367">
        <v>607.28</v>
      </c>
      <c r="N367">
        <v>17.649999999999999</v>
      </c>
      <c r="O367">
        <v>233.01</v>
      </c>
      <c r="P367">
        <v>0.88</v>
      </c>
    </row>
    <row r="368" spans="1:16" x14ac:dyDescent="0.35">
      <c r="A368" s="1">
        <v>40596</v>
      </c>
      <c r="B368" s="2">
        <v>0.29166666666666669</v>
      </c>
      <c r="D368">
        <v>59.28</v>
      </c>
      <c r="E368">
        <v>0.22</v>
      </c>
      <c r="F368">
        <v>4.13</v>
      </c>
      <c r="G368">
        <v>15.86</v>
      </c>
      <c r="H368">
        <v>19.989999999999998</v>
      </c>
      <c r="I368">
        <v>3.86</v>
      </c>
      <c r="J368">
        <v>27.01</v>
      </c>
      <c r="K368">
        <v>38.28</v>
      </c>
      <c r="L368">
        <v>0.38</v>
      </c>
      <c r="M368">
        <v>581.12</v>
      </c>
      <c r="N368">
        <v>17.73</v>
      </c>
      <c r="O368">
        <v>212.25</v>
      </c>
      <c r="P368">
        <v>0.96</v>
      </c>
    </row>
    <row r="369" spans="1:16" x14ac:dyDescent="0.35">
      <c r="A369" s="1">
        <v>40596</v>
      </c>
      <c r="B369" s="2">
        <v>0.33333333333333331</v>
      </c>
      <c r="D369">
        <v>58.38</v>
      </c>
      <c r="E369">
        <v>0.22</v>
      </c>
      <c r="F369">
        <v>4.4400000000000004</v>
      </c>
      <c r="G369">
        <v>14.17</v>
      </c>
      <c r="H369">
        <v>18.61</v>
      </c>
      <c r="I369">
        <v>6.25</v>
      </c>
      <c r="J369">
        <v>29.13</v>
      </c>
      <c r="K369">
        <v>30.73</v>
      </c>
      <c r="L369">
        <v>0.3</v>
      </c>
      <c r="M369">
        <v>572.26</v>
      </c>
      <c r="N369">
        <v>18.079999999999998</v>
      </c>
      <c r="O369">
        <v>217.41</v>
      </c>
      <c r="P369">
        <v>1</v>
      </c>
    </row>
    <row r="370" spans="1:16" x14ac:dyDescent="0.35">
      <c r="A370" s="1">
        <v>40596</v>
      </c>
      <c r="B370" s="2">
        <v>0.375</v>
      </c>
      <c r="D370">
        <v>59.6</v>
      </c>
      <c r="E370">
        <v>0.24</v>
      </c>
      <c r="F370">
        <v>4.5999999999999996</v>
      </c>
      <c r="G370">
        <v>12.12</v>
      </c>
      <c r="H370">
        <v>16.72</v>
      </c>
      <c r="I370">
        <v>8.14</v>
      </c>
      <c r="J370">
        <v>31.52</v>
      </c>
      <c r="K370">
        <v>37.200000000000003</v>
      </c>
      <c r="L370">
        <v>0.42</v>
      </c>
      <c r="M370">
        <v>584.16999999999996</v>
      </c>
      <c r="N370">
        <v>18.68</v>
      </c>
      <c r="O370">
        <v>189.67</v>
      </c>
      <c r="P370">
        <v>1.39</v>
      </c>
    </row>
    <row r="371" spans="1:16" x14ac:dyDescent="0.35">
      <c r="A371" s="1">
        <v>40596</v>
      </c>
      <c r="B371" s="2">
        <v>0.41666666666666669</v>
      </c>
      <c r="D371">
        <v>56.09</v>
      </c>
      <c r="E371">
        <v>0.2</v>
      </c>
      <c r="F371">
        <v>2.08</v>
      </c>
      <c r="G371">
        <v>7.27</v>
      </c>
      <c r="H371">
        <v>9.36</v>
      </c>
      <c r="I371">
        <v>14.15</v>
      </c>
      <c r="J371">
        <v>31.34</v>
      </c>
      <c r="K371">
        <v>42.38</v>
      </c>
      <c r="L371">
        <v>0.34</v>
      </c>
      <c r="M371">
        <v>550.12</v>
      </c>
      <c r="N371">
        <v>20.100000000000001</v>
      </c>
      <c r="O371">
        <v>172.32</v>
      </c>
      <c r="P371">
        <v>1.41</v>
      </c>
    </row>
    <row r="372" spans="1:16" x14ac:dyDescent="0.35">
      <c r="A372" s="1">
        <v>40596</v>
      </c>
      <c r="B372" s="2">
        <v>0.45833333333333331</v>
      </c>
      <c r="D372">
        <v>54.31</v>
      </c>
      <c r="E372">
        <v>0.19</v>
      </c>
      <c r="F372">
        <v>2.12</v>
      </c>
      <c r="G372">
        <v>5.13</v>
      </c>
      <c r="H372">
        <v>7.25</v>
      </c>
      <c r="I372">
        <v>19.77</v>
      </c>
      <c r="J372">
        <v>38.409999999999997</v>
      </c>
      <c r="K372">
        <v>38.619999999999997</v>
      </c>
      <c r="L372">
        <v>0.31</v>
      </c>
      <c r="M372">
        <v>531.96</v>
      </c>
      <c r="N372">
        <v>21.14</v>
      </c>
      <c r="O372">
        <v>144.4</v>
      </c>
      <c r="P372">
        <v>2.8</v>
      </c>
    </row>
    <row r="373" spans="1:16" x14ac:dyDescent="0.35">
      <c r="A373" s="1">
        <v>40596</v>
      </c>
      <c r="B373" s="2">
        <v>0.5</v>
      </c>
      <c r="D373">
        <v>62</v>
      </c>
      <c r="E373">
        <v>0.14000000000000001</v>
      </c>
      <c r="F373">
        <v>0.76</v>
      </c>
      <c r="G373">
        <v>4.0599999999999996</v>
      </c>
      <c r="H373">
        <v>4.82</v>
      </c>
      <c r="I373">
        <v>20.03</v>
      </c>
      <c r="J373">
        <v>24.09</v>
      </c>
      <c r="K373">
        <v>24.08</v>
      </c>
      <c r="L373">
        <v>0.1</v>
      </c>
      <c r="M373">
        <v>608.53</v>
      </c>
      <c r="N373">
        <v>20.399999999999999</v>
      </c>
      <c r="O373">
        <v>136.63</v>
      </c>
      <c r="P373">
        <v>3.96</v>
      </c>
    </row>
    <row r="374" spans="1:16" x14ac:dyDescent="0.35">
      <c r="A374" s="1">
        <v>40596</v>
      </c>
      <c r="B374" s="2">
        <v>0.54166666666666663</v>
      </c>
      <c r="D374">
        <v>58.62</v>
      </c>
      <c r="E374">
        <v>0.09</v>
      </c>
      <c r="F374">
        <v>0.63</v>
      </c>
      <c r="G374">
        <v>4.4000000000000004</v>
      </c>
      <c r="H374">
        <v>5.0199999999999996</v>
      </c>
      <c r="I374">
        <v>19.66</v>
      </c>
      <c r="J374">
        <v>13</v>
      </c>
      <c r="K374">
        <v>24.76</v>
      </c>
      <c r="L374">
        <v>-0.04</v>
      </c>
      <c r="M374">
        <v>574.61</v>
      </c>
      <c r="N374">
        <v>20.43</v>
      </c>
      <c r="O374">
        <v>141.53</v>
      </c>
      <c r="P374">
        <v>3.63</v>
      </c>
    </row>
    <row r="375" spans="1:16" x14ac:dyDescent="0.35">
      <c r="A375" s="1">
        <v>40596</v>
      </c>
      <c r="B375" s="2">
        <v>0.58333333333333337</v>
      </c>
      <c r="D375">
        <v>67.349999999999994</v>
      </c>
      <c r="E375">
        <v>0.08</v>
      </c>
      <c r="F375">
        <v>1.84</v>
      </c>
      <c r="G375">
        <v>5.93</v>
      </c>
      <c r="H375">
        <v>7.77</v>
      </c>
      <c r="I375">
        <v>17.850000000000001</v>
      </c>
      <c r="J375">
        <v>21.25</v>
      </c>
      <c r="K375">
        <v>22.5</v>
      </c>
      <c r="L375">
        <v>1.01</v>
      </c>
      <c r="M375">
        <v>661.4</v>
      </c>
      <c r="N375">
        <v>19.559999999999999</v>
      </c>
      <c r="O375">
        <v>133.30000000000001</v>
      </c>
      <c r="P375">
        <v>3.92</v>
      </c>
    </row>
    <row r="376" spans="1:16" x14ac:dyDescent="0.35">
      <c r="A376" s="1">
        <v>40596</v>
      </c>
      <c r="B376" s="2">
        <v>0.625</v>
      </c>
      <c r="D376">
        <v>69.430000000000007</v>
      </c>
      <c r="E376">
        <v>0.06</v>
      </c>
      <c r="F376">
        <v>2.96</v>
      </c>
      <c r="G376">
        <v>6.8</v>
      </c>
      <c r="H376">
        <v>9.76</v>
      </c>
      <c r="I376">
        <v>16.14</v>
      </c>
      <c r="J376">
        <v>12</v>
      </c>
      <c r="K376">
        <v>21.38</v>
      </c>
      <c r="L376">
        <v>1.61</v>
      </c>
      <c r="M376">
        <v>682.6</v>
      </c>
      <c r="N376">
        <v>19.13</v>
      </c>
      <c r="O376">
        <v>130.49</v>
      </c>
      <c r="P376">
        <v>3.88</v>
      </c>
    </row>
    <row r="377" spans="1:16" x14ac:dyDescent="0.35">
      <c r="A377" s="1">
        <v>40596</v>
      </c>
      <c r="B377" s="2">
        <v>0.66666666666666663</v>
      </c>
      <c r="D377">
        <v>65.959999999999994</v>
      </c>
      <c r="E377">
        <v>0.05</v>
      </c>
      <c r="F377">
        <v>1.65</v>
      </c>
      <c r="G377">
        <v>5.37</v>
      </c>
      <c r="H377">
        <v>7.02</v>
      </c>
      <c r="I377">
        <v>17.04</v>
      </c>
      <c r="J377">
        <v>7.94</v>
      </c>
      <c r="K377">
        <v>23.58</v>
      </c>
      <c r="L377">
        <v>1.42</v>
      </c>
      <c r="M377">
        <v>648</v>
      </c>
      <c r="N377">
        <v>19.48</v>
      </c>
      <c r="O377">
        <v>134.86000000000001</v>
      </c>
      <c r="P377">
        <v>3.22</v>
      </c>
    </row>
    <row r="378" spans="1:16" x14ac:dyDescent="0.35">
      <c r="A378" s="1">
        <v>40596</v>
      </c>
      <c r="B378" s="2">
        <v>0.70833333333333337</v>
      </c>
      <c r="D378">
        <v>60.5</v>
      </c>
      <c r="E378">
        <v>0.06</v>
      </c>
      <c r="F378">
        <v>2.36</v>
      </c>
      <c r="G378">
        <v>6.81</v>
      </c>
      <c r="H378">
        <v>9.18</v>
      </c>
      <c r="I378">
        <v>16.29</v>
      </c>
      <c r="J378">
        <v>13.55</v>
      </c>
      <c r="K378">
        <v>23.99</v>
      </c>
      <c r="L378">
        <v>1.52</v>
      </c>
      <c r="M378">
        <v>593.17999999999995</v>
      </c>
      <c r="N378">
        <v>20.149999999999999</v>
      </c>
      <c r="O378">
        <v>136.06</v>
      </c>
      <c r="P378">
        <v>3.29</v>
      </c>
    </row>
    <row r="379" spans="1:16" x14ac:dyDescent="0.35">
      <c r="A379" s="1">
        <v>40596</v>
      </c>
      <c r="B379" s="2">
        <v>0.75</v>
      </c>
      <c r="D379">
        <v>66.91</v>
      </c>
      <c r="E379">
        <v>0.06</v>
      </c>
      <c r="F379">
        <v>0.57999999999999996</v>
      </c>
      <c r="G379">
        <v>6.27</v>
      </c>
      <c r="H379">
        <v>6.85</v>
      </c>
      <c r="I379">
        <v>16.13</v>
      </c>
      <c r="J379">
        <v>11.31</v>
      </c>
      <c r="K379">
        <v>26.89</v>
      </c>
      <c r="L379">
        <v>2.25</v>
      </c>
      <c r="M379">
        <v>657.55</v>
      </c>
      <c r="N379">
        <v>19.309999999999999</v>
      </c>
      <c r="O379">
        <v>135.71</v>
      </c>
      <c r="P379">
        <v>2.25</v>
      </c>
    </row>
    <row r="380" spans="1:16" x14ac:dyDescent="0.35">
      <c r="A380" s="1">
        <v>40596</v>
      </c>
      <c r="B380" s="2">
        <v>0.79166666666666663</v>
      </c>
      <c r="D380">
        <v>67.37</v>
      </c>
      <c r="E380">
        <v>0.08</v>
      </c>
      <c r="F380">
        <v>-0.67</v>
      </c>
      <c r="G380">
        <v>6.34</v>
      </c>
      <c r="H380">
        <v>5.66</v>
      </c>
      <c r="I380">
        <v>15.19</v>
      </c>
      <c r="J380">
        <v>11.12</v>
      </c>
      <c r="K380">
        <v>26.66</v>
      </c>
      <c r="L380">
        <v>-0.03</v>
      </c>
      <c r="M380">
        <v>662.02</v>
      </c>
      <c r="N380">
        <v>19.07</v>
      </c>
      <c r="O380">
        <v>148.97</v>
      </c>
      <c r="P380">
        <v>1.87</v>
      </c>
    </row>
    <row r="381" spans="1:16" x14ac:dyDescent="0.35">
      <c r="A381" s="1">
        <v>40596</v>
      </c>
      <c r="B381" s="2">
        <v>0.83333333333333337</v>
      </c>
      <c r="D381">
        <v>72.62</v>
      </c>
      <c r="E381">
        <v>0.08</v>
      </c>
      <c r="F381">
        <v>-1.37</v>
      </c>
      <c r="G381">
        <v>6.91</v>
      </c>
      <c r="H381">
        <v>5.54</v>
      </c>
      <c r="I381">
        <v>13.94</v>
      </c>
      <c r="J381">
        <v>12.16</v>
      </c>
      <c r="K381">
        <v>31.15</v>
      </c>
      <c r="L381">
        <v>0.17</v>
      </c>
      <c r="M381">
        <v>714.13</v>
      </c>
      <c r="N381">
        <v>18.690000000000001</v>
      </c>
      <c r="O381">
        <v>123.82</v>
      </c>
      <c r="P381">
        <v>1.83</v>
      </c>
    </row>
    <row r="382" spans="1:16" x14ac:dyDescent="0.35">
      <c r="A382" s="1">
        <v>40596</v>
      </c>
      <c r="B382" s="2">
        <v>0.875</v>
      </c>
      <c r="D382">
        <v>76.47</v>
      </c>
      <c r="E382">
        <v>0.08</v>
      </c>
      <c r="F382">
        <v>-1.37</v>
      </c>
      <c r="G382">
        <v>9.59</v>
      </c>
      <c r="H382">
        <v>8.2200000000000006</v>
      </c>
      <c r="I382">
        <v>10.5</v>
      </c>
      <c r="J382">
        <v>9.77</v>
      </c>
      <c r="K382">
        <v>42.19</v>
      </c>
      <c r="L382">
        <v>0.34</v>
      </c>
      <c r="M382">
        <v>752.56</v>
      </c>
      <c r="N382">
        <v>18.07</v>
      </c>
      <c r="O382">
        <v>114.5</v>
      </c>
      <c r="P382">
        <v>0.56999999999999995</v>
      </c>
    </row>
    <row r="383" spans="1:16" x14ac:dyDescent="0.35">
      <c r="A383" s="1">
        <v>40596</v>
      </c>
      <c r="B383" s="2">
        <v>0.91666666666666663</v>
      </c>
      <c r="D383">
        <v>83.76</v>
      </c>
      <c r="E383">
        <v>0.08</v>
      </c>
      <c r="F383">
        <v>-1.1499999999999999</v>
      </c>
      <c r="G383">
        <v>11.49</v>
      </c>
      <c r="H383">
        <v>10.35</v>
      </c>
      <c r="I383">
        <v>5.27</v>
      </c>
      <c r="J383">
        <v>10.62</v>
      </c>
      <c r="K383">
        <v>61.01</v>
      </c>
      <c r="L383">
        <v>0.12</v>
      </c>
      <c r="M383">
        <v>825.07</v>
      </c>
      <c r="N383">
        <v>17.11</v>
      </c>
      <c r="O383">
        <v>230.78</v>
      </c>
      <c r="P383">
        <v>0.19</v>
      </c>
    </row>
    <row r="384" spans="1:16" x14ac:dyDescent="0.35">
      <c r="A384" s="1">
        <v>40596</v>
      </c>
      <c r="B384" s="2">
        <v>0.95833333333333337</v>
      </c>
      <c r="D384">
        <v>80.77</v>
      </c>
      <c r="E384">
        <v>0.1</v>
      </c>
      <c r="F384">
        <v>4.71</v>
      </c>
      <c r="G384">
        <v>16.57</v>
      </c>
      <c r="H384">
        <v>21.28</v>
      </c>
      <c r="I384">
        <v>0.93</v>
      </c>
      <c r="J384">
        <v>10.37</v>
      </c>
      <c r="K384">
        <v>50.38</v>
      </c>
      <c r="L384">
        <v>0.34</v>
      </c>
      <c r="M384">
        <v>795.67</v>
      </c>
      <c r="N384">
        <v>17.309999999999999</v>
      </c>
      <c r="O384">
        <v>218.67</v>
      </c>
      <c r="P384">
        <v>0.31</v>
      </c>
    </row>
    <row r="385" spans="1:16" x14ac:dyDescent="0.35">
      <c r="A385" s="1">
        <v>40596</v>
      </c>
      <c r="B385" s="18">
        <v>0</v>
      </c>
      <c r="D385">
        <v>75.599999999999994</v>
      </c>
      <c r="E385">
        <v>0.11</v>
      </c>
      <c r="F385">
        <v>0.28000000000000003</v>
      </c>
      <c r="G385">
        <v>13.21</v>
      </c>
      <c r="H385">
        <v>13.49</v>
      </c>
      <c r="I385">
        <v>3.55</v>
      </c>
      <c r="J385">
        <v>10.35</v>
      </c>
      <c r="K385">
        <v>29.6</v>
      </c>
      <c r="L385">
        <v>-7.0000000000000007E-2</v>
      </c>
      <c r="M385">
        <v>744.22</v>
      </c>
      <c r="N385">
        <v>17.97</v>
      </c>
      <c r="O385">
        <v>204.27</v>
      </c>
      <c r="P385">
        <v>0.77</v>
      </c>
    </row>
    <row r="386" spans="1:16" x14ac:dyDescent="0.35">
      <c r="A386" s="1">
        <v>40597</v>
      </c>
      <c r="B386" s="2">
        <v>4.1666666666666664E-2</v>
      </c>
      <c r="D386">
        <v>76.180000000000007</v>
      </c>
      <c r="E386">
        <v>0.09</v>
      </c>
      <c r="F386">
        <v>-1.39</v>
      </c>
      <c r="G386">
        <v>10.53</v>
      </c>
      <c r="H386">
        <v>9.1300000000000008</v>
      </c>
      <c r="I386">
        <v>6.82</v>
      </c>
      <c r="J386">
        <v>8.33</v>
      </c>
      <c r="K386">
        <v>58.57</v>
      </c>
      <c r="L386">
        <v>-7.0000000000000007E-2</v>
      </c>
      <c r="M386">
        <v>749.71</v>
      </c>
      <c r="N386">
        <v>17.8</v>
      </c>
      <c r="O386">
        <v>195.41</v>
      </c>
      <c r="P386">
        <v>0.3</v>
      </c>
    </row>
    <row r="387" spans="1:16" x14ac:dyDescent="0.35">
      <c r="A387" s="1">
        <v>40597</v>
      </c>
      <c r="B387" s="2">
        <v>8.3333333333333329E-2</v>
      </c>
      <c r="D387">
        <v>79.72</v>
      </c>
      <c r="E387">
        <v>0.09</v>
      </c>
      <c r="F387">
        <v>-1.26</v>
      </c>
      <c r="G387">
        <v>10.61</v>
      </c>
      <c r="H387">
        <v>9.35</v>
      </c>
      <c r="I387">
        <v>5.77</v>
      </c>
      <c r="J387">
        <v>9.56</v>
      </c>
      <c r="K387">
        <v>59.79</v>
      </c>
      <c r="L387">
        <v>0</v>
      </c>
      <c r="M387">
        <v>784.98</v>
      </c>
      <c r="N387">
        <v>17.54</v>
      </c>
      <c r="O387">
        <v>242.53</v>
      </c>
      <c r="P387">
        <v>0.33</v>
      </c>
    </row>
    <row r="388" spans="1:16" x14ac:dyDescent="0.35">
      <c r="A388" s="1">
        <v>40597</v>
      </c>
      <c r="B388" s="2">
        <v>0.125</v>
      </c>
      <c r="D388">
        <v>78.84</v>
      </c>
      <c r="E388">
        <v>0.11</v>
      </c>
      <c r="F388">
        <v>-1.54</v>
      </c>
      <c r="G388">
        <v>8.4700000000000006</v>
      </c>
      <c r="H388">
        <v>6.93</v>
      </c>
      <c r="I388">
        <v>7.86</v>
      </c>
      <c r="J388">
        <v>9.25</v>
      </c>
      <c r="K388">
        <v>33.700000000000003</v>
      </c>
      <c r="L388">
        <v>0.22</v>
      </c>
      <c r="M388">
        <v>776.33</v>
      </c>
      <c r="N388">
        <v>17.760000000000002</v>
      </c>
      <c r="O388">
        <v>209.12</v>
      </c>
      <c r="P388">
        <v>0.73</v>
      </c>
    </row>
    <row r="389" spans="1:16" x14ac:dyDescent="0.35">
      <c r="A389" s="1">
        <v>40597</v>
      </c>
      <c r="B389" s="2">
        <v>0.16666666666666666</v>
      </c>
      <c r="D389">
        <v>79.56</v>
      </c>
      <c r="E389">
        <v>0.11</v>
      </c>
      <c r="F389">
        <v>-1.24</v>
      </c>
      <c r="G389">
        <v>8.75</v>
      </c>
      <c r="H389">
        <v>7.51</v>
      </c>
      <c r="I389">
        <v>6.74</v>
      </c>
      <c r="J389">
        <v>9.6999999999999993</v>
      </c>
      <c r="K389">
        <v>44.1</v>
      </c>
      <c r="L389">
        <v>0.46</v>
      </c>
      <c r="M389">
        <v>783.47</v>
      </c>
      <c r="N389">
        <v>17.46</v>
      </c>
      <c r="O389">
        <v>205.39</v>
      </c>
      <c r="P389">
        <v>1.02</v>
      </c>
    </row>
    <row r="390" spans="1:16" x14ac:dyDescent="0.35">
      <c r="A390" s="1">
        <v>40597</v>
      </c>
      <c r="B390" s="2">
        <v>0.20833333333333334</v>
      </c>
      <c r="D390">
        <v>80.37</v>
      </c>
      <c r="E390">
        <v>0.1</v>
      </c>
      <c r="F390">
        <v>1.05</v>
      </c>
      <c r="G390">
        <v>13.29</v>
      </c>
      <c r="H390">
        <v>14.34</v>
      </c>
      <c r="I390">
        <v>2.4300000000000002</v>
      </c>
      <c r="J390">
        <v>9.1999999999999993</v>
      </c>
      <c r="K390">
        <v>61.76</v>
      </c>
      <c r="L390">
        <v>0.9</v>
      </c>
      <c r="M390">
        <v>791.51</v>
      </c>
      <c r="N390">
        <v>17.14</v>
      </c>
      <c r="O390">
        <v>183.71</v>
      </c>
      <c r="P390">
        <v>0.56000000000000005</v>
      </c>
    </row>
    <row r="391" spans="1:16" x14ac:dyDescent="0.35">
      <c r="A391" s="1">
        <v>40597</v>
      </c>
      <c r="B391" s="2">
        <v>0.25</v>
      </c>
      <c r="D391">
        <v>84.16</v>
      </c>
      <c r="E391">
        <v>0.1</v>
      </c>
      <c r="F391">
        <v>3.83</v>
      </c>
      <c r="G391">
        <v>14.2</v>
      </c>
      <c r="H391">
        <v>18.03</v>
      </c>
      <c r="I391">
        <v>0.42</v>
      </c>
      <c r="J391">
        <v>8.99</v>
      </c>
      <c r="K391">
        <v>66.569999999999993</v>
      </c>
      <c r="L391">
        <v>0.75</v>
      </c>
      <c r="M391">
        <v>829.23</v>
      </c>
      <c r="N391">
        <v>16.18</v>
      </c>
      <c r="O391">
        <v>165.44</v>
      </c>
      <c r="P391">
        <v>0.28999999999999998</v>
      </c>
    </row>
    <row r="392" spans="1:16" x14ac:dyDescent="0.35">
      <c r="A392" s="1">
        <v>40597</v>
      </c>
      <c r="B392" s="2">
        <v>0.29166666666666669</v>
      </c>
      <c r="D392">
        <v>85.11</v>
      </c>
      <c r="E392">
        <v>0.15</v>
      </c>
      <c r="F392">
        <v>24.14</v>
      </c>
      <c r="G392">
        <v>14.52</v>
      </c>
      <c r="H392">
        <v>38.659999999999997</v>
      </c>
      <c r="I392">
        <v>1.02</v>
      </c>
      <c r="J392">
        <v>17.72</v>
      </c>
      <c r="K392">
        <v>66.5</v>
      </c>
      <c r="L392">
        <v>1.08</v>
      </c>
      <c r="M392">
        <v>838.98</v>
      </c>
      <c r="N392">
        <v>16.14</v>
      </c>
      <c r="O392">
        <v>276.77</v>
      </c>
      <c r="P392">
        <v>0.21</v>
      </c>
    </row>
    <row r="393" spans="1:16" x14ac:dyDescent="0.35">
      <c r="A393" s="1">
        <v>40597</v>
      </c>
      <c r="B393" s="2">
        <v>0.33333333333333331</v>
      </c>
      <c r="D393">
        <v>77.84</v>
      </c>
      <c r="E393">
        <v>0.15</v>
      </c>
      <c r="F393">
        <v>35.86</v>
      </c>
      <c r="G393">
        <v>16.82</v>
      </c>
      <c r="H393">
        <v>52.68</v>
      </c>
      <c r="I393">
        <v>1.33</v>
      </c>
      <c r="J393">
        <v>21.77</v>
      </c>
      <c r="K393">
        <v>68.02</v>
      </c>
      <c r="L393">
        <v>1.23</v>
      </c>
      <c r="M393">
        <v>766.78</v>
      </c>
      <c r="N393">
        <v>17.829999999999998</v>
      </c>
      <c r="O393">
        <v>277.44</v>
      </c>
      <c r="P393">
        <v>0.32</v>
      </c>
    </row>
    <row r="394" spans="1:16" x14ac:dyDescent="0.35">
      <c r="A394" s="1">
        <v>40597</v>
      </c>
      <c r="B394" s="2">
        <v>0.375</v>
      </c>
      <c r="D394">
        <v>67.88</v>
      </c>
      <c r="E394">
        <v>0.1</v>
      </c>
      <c r="F394">
        <v>13.4</v>
      </c>
      <c r="G394">
        <v>12.81</v>
      </c>
      <c r="H394">
        <v>26.21</v>
      </c>
      <c r="I394">
        <v>4.88</v>
      </c>
      <c r="J394">
        <v>16.3</v>
      </c>
      <c r="K394">
        <v>43.96</v>
      </c>
      <c r="L394">
        <v>0.9</v>
      </c>
      <c r="M394">
        <v>668.11</v>
      </c>
      <c r="N394">
        <v>20.16</v>
      </c>
      <c r="O394">
        <v>187.9</v>
      </c>
      <c r="P394">
        <v>1.08</v>
      </c>
    </row>
    <row r="395" spans="1:16" x14ac:dyDescent="0.35">
      <c r="A395" s="1">
        <v>40597</v>
      </c>
      <c r="B395" s="2">
        <v>0.41666666666666669</v>
      </c>
      <c r="D395">
        <v>68.06</v>
      </c>
      <c r="E395">
        <v>0.11</v>
      </c>
      <c r="F395">
        <v>2.8</v>
      </c>
      <c r="G395">
        <v>8.86</v>
      </c>
      <c r="H395">
        <v>11.66</v>
      </c>
      <c r="I395">
        <v>9.82</v>
      </c>
      <c r="J395">
        <v>19.899999999999999</v>
      </c>
      <c r="K395">
        <v>35.479999999999997</v>
      </c>
      <c r="L395">
        <v>0.74</v>
      </c>
      <c r="M395">
        <v>669.26</v>
      </c>
      <c r="N395">
        <v>20.27</v>
      </c>
      <c r="O395">
        <v>193.9</v>
      </c>
      <c r="P395">
        <v>1.3</v>
      </c>
    </row>
    <row r="396" spans="1:16" x14ac:dyDescent="0.35">
      <c r="A396" s="1">
        <v>40597</v>
      </c>
      <c r="B396" s="2">
        <v>0.45833333333333331</v>
      </c>
      <c r="D396">
        <v>60.64</v>
      </c>
      <c r="E396">
        <v>0.12</v>
      </c>
      <c r="F396">
        <v>0.77</v>
      </c>
      <c r="G396">
        <v>5.2</v>
      </c>
      <c r="H396">
        <v>5.98</v>
      </c>
      <c r="I396">
        <v>15.11</v>
      </c>
      <c r="J396">
        <v>12.08</v>
      </c>
      <c r="K396">
        <v>38.54</v>
      </c>
      <c r="L396">
        <v>0.39</v>
      </c>
      <c r="M396">
        <v>595.75</v>
      </c>
      <c r="N396">
        <v>21.52</v>
      </c>
      <c r="O396">
        <v>162.88999999999999</v>
      </c>
      <c r="P396">
        <v>1.32</v>
      </c>
    </row>
    <row r="397" spans="1:16" x14ac:dyDescent="0.35">
      <c r="A397" s="1">
        <v>40597</v>
      </c>
      <c r="B397" s="2">
        <v>0.5</v>
      </c>
      <c r="D397">
        <v>59.92</v>
      </c>
      <c r="E397">
        <v>0.16</v>
      </c>
      <c r="F397">
        <v>0.74</v>
      </c>
      <c r="G397">
        <v>5.19</v>
      </c>
      <c r="H397">
        <v>5.93</v>
      </c>
      <c r="I397">
        <v>18.649999999999999</v>
      </c>
      <c r="J397">
        <v>23.15</v>
      </c>
      <c r="K397">
        <v>31.81</v>
      </c>
      <c r="L397">
        <v>0.47</v>
      </c>
      <c r="M397">
        <v>588.13</v>
      </c>
      <c r="N397">
        <v>22</v>
      </c>
      <c r="O397">
        <v>135.75</v>
      </c>
      <c r="P397">
        <v>2.31</v>
      </c>
    </row>
    <row r="398" spans="1:16" x14ac:dyDescent="0.35">
      <c r="A398" s="1">
        <v>40597</v>
      </c>
      <c r="B398" s="2">
        <v>0.54166666666666663</v>
      </c>
      <c r="D398">
        <v>50.46</v>
      </c>
      <c r="E398">
        <v>0.14000000000000001</v>
      </c>
      <c r="F398">
        <v>0.99</v>
      </c>
      <c r="G398">
        <v>4.6100000000000003</v>
      </c>
      <c r="H398">
        <v>5.59</v>
      </c>
      <c r="I398">
        <v>22.73</v>
      </c>
      <c r="J398">
        <v>17.23</v>
      </c>
      <c r="K398">
        <v>33.130000000000003</v>
      </c>
      <c r="L398">
        <v>1.44</v>
      </c>
      <c r="M398">
        <v>493.5</v>
      </c>
      <c r="N398">
        <v>23.86</v>
      </c>
      <c r="O398">
        <v>114.1</v>
      </c>
      <c r="P398">
        <v>2.35</v>
      </c>
    </row>
    <row r="399" spans="1:16" x14ac:dyDescent="0.35">
      <c r="A399" s="1">
        <v>40597</v>
      </c>
      <c r="B399" s="2">
        <v>0.58333333333333337</v>
      </c>
      <c r="D399">
        <v>44.52</v>
      </c>
      <c r="E399">
        <v>0.13</v>
      </c>
      <c r="F399">
        <v>0.3</v>
      </c>
      <c r="G399">
        <v>4.53</v>
      </c>
      <c r="H399">
        <v>4.83</v>
      </c>
      <c r="I399">
        <v>24.78</v>
      </c>
      <c r="J399">
        <v>18.43</v>
      </c>
      <c r="K399">
        <v>32.83</v>
      </c>
      <c r="L399">
        <v>3.47</v>
      </c>
      <c r="M399">
        <v>434.13</v>
      </c>
      <c r="N399">
        <v>24.47</v>
      </c>
      <c r="O399">
        <v>129.82</v>
      </c>
      <c r="P399">
        <v>2.64</v>
      </c>
    </row>
    <row r="400" spans="1:16" x14ac:dyDescent="0.35">
      <c r="A400" s="1">
        <v>40597</v>
      </c>
      <c r="B400" s="2">
        <v>0.625</v>
      </c>
      <c r="D400">
        <v>46.75</v>
      </c>
      <c r="E400">
        <v>0.15</v>
      </c>
      <c r="F400">
        <v>0.59</v>
      </c>
      <c r="G400">
        <v>4.75</v>
      </c>
      <c r="H400">
        <v>5.34</v>
      </c>
      <c r="I400">
        <v>24.24</v>
      </c>
      <c r="J400">
        <v>24.03</v>
      </c>
      <c r="K400">
        <v>25.74</v>
      </c>
      <c r="L400">
        <v>3.63</v>
      </c>
      <c r="M400">
        <v>456.13</v>
      </c>
      <c r="N400">
        <v>24.67</v>
      </c>
      <c r="O400">
        <v>133.99</v>
      </c>
      <c r="P400">
        <v>3.26</v>
      </c>
    </row>
    <row r="401" spans="1:16" x14ac:dyDescent="0.35">
      <c r="A401" s="1">
        <v>40597</v>
      </c>
      <c r="B401" s="2">
        <v>0.66666666666666663</v>
      </c>
      <c r="D401">
        <v>48.91</v>
      </c>
      <c r="E401">
        <v>0.17</v>
      </c>
      <c r="F401">
        <v>0.46</v>
      </c>
      <c r="G401">
        <v>4.9800000000000004</v>
      </c>
      <c r="H401">
        <v>5.43</v>
      </c>
      <c r="I401">
        <v>24.39</v>
      </c>
      <c r="J401">
        <v>23.32</v>
      </c>
      <c r="K401">
        <v>25.71</v>
      </c>
      <c r="L401">
        <v>7.97</v>
      </c>
      <c r="M401">
        <v>477.92</v>
      </c>
      <c r="N401">
        <v>24.11</v>
      </c>
      <c r="O401">
        <v>126.08</v>
      </c>
      <c r="P401">
        <v>3.37</v>
      </c>
    </row>
    <row r="402" spans="1:16" x14ac:dyDescent="0.35">
      <c r="A402" s="1">
        <v>40597</v>
      </c>
      <c r="B402" s="2">
        <v>0.70833333333333337</v>
      </c>
      <c r="D402">
        <v>51.58</v>
      </c>
      <c r="E402">
        <v>0.22</v>
      </c>
      <c r="F402">
        <v>0.57999999999999996</v>
      </c>
      <c r="G402">
        <v>5.16</v>
      </c>
      <c r="H402">
        <v>5.74</v>
      </c>
      <c r="I402">
        <v>23.69</v>
      </c>
      <c r="J402">
        <v>25.75</v>
      </c>
      <c r="K402">
        <v>25.23</v>
      </c>
      <c r="L402">
        <v>3.71</v>
      </c>
      <c r="M402">
        <v>504.19</v>
      </c>
      <c r="N402">
        <v>23.32</v>
      </c>
      <c r="O402">
        <v>133.9</v>
      </c>
      <c r="P402">
        <v>2.71</v>
      </c>
    </row>
    <row r="403" spans="1:16" x14ac:dyDescent="0.35">
      <c r="A403" s="1">
        <v>40597</v>
      </c>
      <c r="B403" s="2">
        <v>0.75</v>
      </c>
      <c r="D403">
        <v>54.33</v>
      </c>
      <c r="E403">
        <v>0.22</v>
      </c>
      <c r="F403">
        <v>0.16</v>
      </c>
      <c r="G403">
        <v>6.36</v>
      </c>
      <c r="H403">
        <v>6.52</v>
      </c>
      <c r="I403">
        <v>21.08</v>
      </c>
      <c r="J403">
        <v>24.39</v>
      </c>
      <c r="K403">
        <v>20.9</v>
      </c>
      <c r="L403">
        <v>6.97</v>
      </c>
      <c r="M403">
        <v>531.74</v>
      </c>
      <c r="N403">
        <v>22.25</v>
      </c>
      <c r="O403">
        <v>128.87</v>
      </c>
      <c r="P403">
        <v>2.74</v>
      </c>
    </row>
    <row r="404" spans="1:16" x14ac:dyDescent="0.35">
      <c r="A404" s="1">
        <v>40597</v>
      </c>
      <c r="B404" s="2">
        <v>0.79166666666666663</v>
      </c>
      <c r="D404">
        <v>59.59</v>
      </c>
      <c r="E404">
        <v>0.22</v>
      </c>
      <c r="F404">
        <v>-0.97</v>
      </c>
      <c r="G404">
        <v>7.79</v>
      </c>
      <c r="H404">
        <v>6.82</v>
      </c>
      <c r="I404">
        <v>17.149999999999999</v>
      </c>
      <c r="J404">
        <v>25.45</v>
      </c>
      <c r="K404">
        <v>22.45</v>
      </c>
      <c r="L404">
        <v>6.66</v>
      </c>
      <c r="M404">
        <v>584.17999999999995</v>
      </c>
      <c r="N404">
        <v>21.22</v>
      </c>
      <c r="O404">
        <v>124.44</v>
      </c>
      <c r="P404">
        <v>2.13</v>
      </c>
    </row>
    <row r="405" spans="1:16" x14ac:dyDescent="0.35">
      <c r="A405" s="1">
        <v>40597</v>
      </c>
      <c r="B405" s="2">
        <v>0.83333333333333337</v>
      </c>
      <c r="D405">
        <v>65.540000000000006</v>
      </c>
      <c r="E405">
        <v>0.25</v>
      </c>
      <c r="F405">
        <v>-1.1200000000000001</v>
      </c>
      <c r="G405">
        <v>11.7</v>
      </c>
      <c r="H405">
        <v>10.58</v>
      </c>
      <c r="I405">
        <v>12.56</v>
      </c>
      <c r="J405">
        <v>26.07</v>
      </c>
      <c r="K405">
        <v>20.420000000000002</v>
      </c>
      <c r="L405">
        <v>7</v>
      </c>
      <c r="M405">
        <v>643.30999999999995</v>
      </c>
      <c r="N405">
        <v>20.34</v>
      </c>
      <c r="O405">
        <v>131.38</v>
      </c>
      <c r="P405">
        <v>1.39</v>
      </c>
    </row>
    <row r="406" spans="1:16" x14ac:dyDescent="0.35">
      <c r="A406" s="1">
        <v>40597</v>
      </c>
      <c r="B406" s="2">
        <v>0.875</v>
      </c>
      <c r="D406">
        <v>70.75</v>
      </c>
      <c r="E406">
        <v>0.26</v>
      </c>
      <c r="F406">
        <v>-1.1399999999999999</v>
      </c>
      <c r="G406">
        <v>17.75</v>
      </c>
      <c r="H406">
        <v>16.61</v>
      </c>
      <c r="I406">
        <v>5.98</v>
      </c>
      <c r="J406">
        <v>22.99</v>
      </c>
      <c r="K406">
        <v>14.21</v>
      </c>
      <c r="L406">
        <v>2.76</v>
      </c>
      <c r="M406">
        <v>695.45</v>
      </c>
      <c r="N406">
        <v>19.489999999999998</v>
      </c>
      <c r="O406">
        <v>122.97</v>
      </c>
      <c r="P406">
        <v>0.79</v>
      </c>
    </row>
    <row r="407" spans="1:16" x14ac:dyDescent="0.35">
      <c r="A407" s="1">
        <v>40597</v>
      </c>
      <c r="B407" s="2">
        <v>0.91666666666666663</v>
      </c>
      <c r="D407">
        <v>78.41</v>
      </c>
      <c r="E407">
        <v>0.35</v>
      </c>
      <c r="F407">
        <v>5.09</v>
      </c>
      <c r="G407">
        <v>20.010000000000002</v>
      </c>
      <c r="H407">
        <v>25.1</v>
      </c>
      <c r="I407">
        <v>1.21</v>
      </c>
      <c r="J407">
        <v>28.92</v>
      </c>
      <c r="K407">
        <v>58.16</v>
      </c>
      <c r="L407">
        <v>0.96</v>
      </c>
      <c r="M407">
        <v>771.81</v>
      </c>
      <c r="N407">
        <v>18.12</v>
      </c>
      <c r="O407">
        <v>17.64</v>
      </c>
      <c r="P407">
        <v>0.2</v>
      </c>
    </row>
    <row r="408" spans="1:16" x14ac:dyDescent="0.35">
      <c r="A408" s="1">
        <v>40597</v>
      </c>
      <c r="B408" s="2">
        <v>0.95833333333333337</v>
      </c>
      <c r="D408">
        <v>82.44</v>
      </c>
      <c r="E408">
        <v>0.28999999999999998</v>
      </c>
      <c r="F408">
        <v>21.14</v>
      </c>
      <c r="G408">
        <v>16.809999999999999</v>
      </c>
      <c r="H408">
        <v>37.950000000000003</v>
      </c>
      <c r="I408">
        <v>0.12</v>
      </c>
      <c r="J408">
        <v>25.34</v>
      </c>
      <c r="K408">
        <v>58.56</v>
      </c>
      <c r="L408">
        <v>0.6</v>
      </c>
      <c r="M408">
        <v>812.26</v>
      </c>
      <c r="N408">
        <v>17.22</v>
      </c>
      <c r="O408">
        <v>347.8</v>
      </c>
      <c r="P408">
        <v>0.28999999999999998</v>
      </c>
    </row>
    <row r="409" spans="1:16" x14ac:dyDescent="0.35">
      <c r="A409" s="1">
        <v>40597</v>
      </c>
      <c r="B409" s="18">
        <v>0</v>
      </c>
      <c r="D409">
        <v>81.55</v>
      </c>
      <c r="E409">
        <v>0.26</v>
      </c>
      <c r="F409">
        <v>17.510000000000002</v>
      </c>
      <c r="G409">
        <v>15.6</v>
      </c>
      <c r="H409">
        <v>33.11</v>
      </c>
      <c r="I409">
        <v>0.19</v>
      </c>
      <c r="J409">
        <v>17.54</v>
      </c>
      <c r="K409">
        <v>33.61</v>
      </c>
      <c r="L409">
        <v>0.33</v>
      </c>
      <c r="M409">
        <v>803.34</v>
      </c>
      <c r="N409">
        <v>17.41</v>
      </c>
      <c r="O409">
        <v>351.66</v>
      </c>
      <c r="P409">
        <v>0.35</v>
      </c>
    </row>
    <row r="410" spans="1:16" x14ac:dyDescent="0.35">
      <c r="A410" s="1">
        <v>40598</v>
      </c>
      <c r="B410" s="2">
        <v>4.1666666666666664E-2</v>
      </c>
      <c r="D410">
        <v>82.83</v>
      </c>
      <c r="E410">
        <v>0.28999999999999998</v>
      </c>
      <c r="F410">
        <v>19.3</v>
      </c>
      <c r="G410">
        <v>15.63</v>
      </c>
      <c r="H410">
        <v>34.93</v>
      </c>
      <c r="I410">
        <v>0.14000000000000001</v>
      </c>
      <c r="J410">
        <v>18.46</v>
      </c>
      <c r="K410">
        <v>81.67</v>
      </c>
      <c r="L410">
        <v>0.45</v>
      </c>
      <c r="M410">
        <v>816.01</v>
      </c>
      <c r="N410">
        <v>17.12</v>
      </c>
      <c r="O410">
        <v>342.28</v>
      </c>
      <c r="P410">
        <v>0.1</v>
      </c>
    </row>
    <row r="411" spans="1:16" x14ac:dyDescent="0.35">
      <c r="A411" s="1">
        <v>40598</v>
      </c>
      <c r="B411" s="2">
        <v>8.3333333333333329E-2</v>
      </c>
      <c r="D411">
        <v>86.28</v>
      </c>
      <c r="E411">
        <v>0.3</v>
      </c>
      <c r="F411">
        <v>21.96</v>
      </c>
      <c r="G411">
        <v>13.46</v>
      </c>
      <c r="H411">
        <v>35.42</v>
      </c>
      <c r="I411">
        <v>0.18</v>
      </c>
      <c r="J411">
        <v>16.52</v>
      </c>
      <c r="K411">
        <v>49.33</v>
      </c>
      <c r="L411">
        <v>0.56999999999999995</v>
      </c>
      <c r="M411">
        <v>850.5</v>
      </c>
      <c r="N411">
        <v>16.420000000000002</v>
      </c>
      <c r="O411">
        <v>5.0199999999999996</v>
      </c>
      <c r="P411">
        <v>0.28999999999999998</v>
      </c>
    </row>
    <row r="412" spans="1:16" x14ac:dyDescent="0.35">
      <c r="A412" s="1">
        <v>40598</v>
      </c>
      <c r="B412" s="2">
        <v>0.125</v>
      </c>
      <c r="D412">
        <v>89.96</v>
      </c>
      <c r="E412">
        <v>0.28999999999999998</v>
      </c>
      <c r="F412">
        <v>23.83</v>
      </c>
      <c r="G412">
        <v>12.33</v>
      </c>
      <c r="H412">
        <v>36.17</v>
      </c>
      <c r="I412">
        <v>0.14000000000000001</v>
      </c>
      <c r="J412">
        <v>13.05</v>
      </c>
      <c r="K412">
        <v>51.41</v>
      </c>
      <c r="L412">
        <v>0.54</v>
      </c>
      <c r="M412">
        <v>887.04</v>
      </c>
      <c r="N412">
        <v>15.35</v>
      </c>
      <c r="O412">
        <v>352.21</v>
      </c>
      <c r="P412">
        <v>0.3</v>
      </c>
    </row>
    <row r="413" spans="1:16" x14ac:dyDescent="0.35">
      <c r="A413" s="1">
        <v>40598</v>
      </c>
      <c r="B413" s="2">
        <v>0.16666666666666666</v>
      </c>
      <c r="D413">
        <v>91.44</v>
      </c>
      <c r="E413">
        <v>0.3</v>
      </c>
      <c r="F413">
        <v>38.799999999999997</v>
      </c>
      <c r="G413">
        <v>11.5</v>
      </c>
      <c r="H413">
        <v>50.31</v>
      </c>
      <c r="I413">
        <v>0.14000000000000001</v>
      </c>
      <c r="J413">
        <v>15.75</v>
      </c>
      <c r="K413">
        <v>40.200000000000003</v>
      </c>
      <c r="L413">
        <v>0.74</v>
      </c>
      <c r="M413">
        <v>901.9</v>
      </c>
      <c r="N413">
        <v>14.73</v>
      </c>
      <c r="O413">
        <v>1.51</v>
      </c>
      <c r="P413">
        <v>0.37</v>
      </c>
    </row>
    <row r="414" spans="1:16" x14ac:dyDescent="0.35">
      <c r="A414" s="1">
        <v>40598</v>
      </c>
      <c r="B414" s="2">
        <v>0.20833333333333334</v>
      </c>
      <c r="D414">
        <v>91.84</v>
      </c>
      <c r="E414">
        <v>0.32</v>
      </c>
      <c r="F414">
        <v>41.31</v>
      </c>
      <c r="G414">
        <v>12.23</v>
      </c>
      <c r="H414">
        <v>53.54</v>
      </c>
      <c r="I414">
        <v>0.17</v>
      </c>
      <c r="J414">
        <v>17.690000000000001</v>
      </c>
      <c r="K414">
        <v>15.97</v>
      </c>
      <c r="L414">
        <v>0.91</v>
      </c>
      <c r="M414">
        <v>905.91</v>
      </c>
      <c r="N414">
        <v>14.24</v>
      </c>
      <c r="O414">
        <v>10.29</v>
      </c>
      <c r="P414">
        <v>0.61</v>
      </c>
    </row>
    <row r="415" spans="1:16" x14ac:dyDescent="0.35">
      <c r="A415" s="1">
        <v>40598</v>
      </c>
      <c r="B415" s="2">
        <v>0.25</v>
      </c>
      <c r="D415">
        <v>92.19</v>
      </c>
      <c r="E415">
        <v>0.38</v>
      </c>
      <c r="F415">
        <v>95.9</v>
      </c>
      <c r="G415">
        <v>16.260000000000002</v>
      </c>
      <c r="H415">
        <v>112.16</v>
      </c>
      <c r="I415">
        <v>0.24</v>
      </c>
      <c r="J415">
        <v>29.31</v>
      </c>
      <c r="K415">
        <v>21.52</v>
      </c>
      <c r="L415">
        <v>1.54</v>
      </c>
      <c r="M415">
        <v>909.48</v>
      </c>
      <c r="N415">
        <v>13.82</v>
      </c>
      <c r="O415">
        <v>2.99</v>
      </c>
      <c r="P415">
        <v>0.56000000000000005</v>
      </c>
    </row>
    <row r="416" spans="1:16" x14ac:dyDescent="0.35">
      <c r="A416" s="1">
        <v>40598</v>
      </c>
      <c r="B416" s="2">
        <v>0.29166666666666669</v>
      </c>
      <c r="D416">
        <v>87.33</v>
      </c>
      <c r="E416">
        <v>0.51</v>
      </c>
      <c r="F416">
        <v>137.5</v>
      </c>
      <c r="G416">
        <v>22.87</v>
      </c>
      <c r="H416">
        <v>160.37</v>
      </c>
      <c r="I416">
        <v>0.48</v>
      </c>
      <c r="J416">
        <v>57.52</v>
      </c>
      <c r="K416">
        <v>36.75</v>
      </c>
      <c r="L416">
        <v>2.6</v>
      </c>
      <c r="M416">
        <v>861.46</v>
      </c>
      <c r="N416">
        <v>15.33</v>
      </c>
      <c r="O416">
        <v>327.85</v>
      </c>
      <c r="P416">
        <v>0.69</v>
      </c>
    </row>
    <row r="417" spans="1:16" x14ac:dyDescent="0.35">
      <c r="A417" s="1">
        <v>40598</v>
      </c>
      <c r="B417" s="2">
        <v>0.33333333333333331</v>
      </c>
      <c r="D417">
        <v>74.569999999999993</v>
      </c>
      <c r="E417">
        <v>0.47</v>
      </c>
      <c r="F417">
        <v>58.65</v>
      </c>
      <c r="G417">
        <v>20.63</v>
      </c>
      <c r="H417">
        <v>79.28</v>
      </c>
      <c r="I417">
        <v>1.78</v>
      </c>
      <c r="J417">
        <v>36.380000000000003</v>
      </c>
      <c r="K417">
        <v>35.89</v>
      </c>
      <c r="L417">
        <v>2.74</v>
      </c>
      <c r="M417">
        <v>734.23</v>
      </c>
      <c r="N417">
        <v>18.739999999999998</v>
      </c>
      <c r="O417">
        <v>308.47000000000003</v>
      </c>
      <c r="P417">
        <v>0.89</v>
      </c>
    </row>
    <row r="418" spans="1:16" x14ac:dyDescent="0.35">
      <c r="A418" s="1">
        <v>40598</v>
      </c>
      <c r="B418" s="2">
        <v>0.375</v>
      </c>
      <c r="D418">
        <v>65.13</v>
      </c>
      <c r="E418">
        <v>0.36</v>
      </c>
      <c r="F418">
        <v>22.65</v>
      </c>
      <c r="G418">
        <v>14.89</v>
      </c>
      <c r="H418">
        <v>37.54</v>
      </c>
      <c r="I418">
        <v>6.71</v>
      </c>
      <c r="J418">
        <v>33.1</v>
      </c>
      <c r="K418">
        <v>59.09</v>
      </c>
      <c r="L418">
        <v>2.58</v>
      </c>
      <c r="M418">
        <v>640.51</v>
      </c>
      <c r="N418">
        <v>21.35</v>
      </c>
      <c r="O418">
        <v>278.3</v>
      </c>
      <c r="P418">
        <v>0.74</v>
      </c>
    </row>
    <row r="419" spans="1:16" x14ac:dyDescent="0.35">
      <c r="A419" s="1">
        <v>40598</v>
      </c>
      <c r="B419" s="2">
        <v>0.41666666666666669</v>
      </c>
      <c r="D419">
        <v>54.35</v>
      </c>
      <c r="E419">
        <v>0.25</v>
      </c>
      <c r="F419">
        <v>4.71</v>
      </c>
      <c r="G419">
        <v>8.4600000000000009</v>
      </c>
      <c r="H419">
        <v>13.17</v>
      </c>
      <c r="I419">
        <v>15.34</v>
      </c>
      <c r="J419">
        <v>18.850000000000001</v>
      </c>
      <c r="K419">
        <v>59.33</v>
      </c>
      <c r="L419">
        <v>0.92</v>
      </c>
      <c r="M419">
        <v>533.54</v>
      </c>
      <c r="N419">
        <v>23.13</v>
      </c>
      <c r="O419">
        <v>326.5</v>
      </c>
      <c r="P419">
        <v>0.97</v>
      </c>
    </row>
    <row r="420" spans="1:16" x14ac:dyDescent="0.35">
      <c r="A420" s="1">
        <v>40598</v>
      </c>
      <c r="B420" s="2">
        <v>0.45833333333333331</v>
      </c>
      <c r="D420">
        <v>47.14</v>
      </c>
      <c r="E420">
        <v>0.19</v>
      </c>
      <c r="F420">
        <v>1.61</v>
      </c>
      <c r="G420">
        <v>5.43</v>
      </c>
      <c r="H420">
        <v>7.04</v>
      </c>
      <c r="I420">
        <v>20.79</v>
      </c>
      <c r="J420">
        <v>18.309999999999999</v>
      </c>
      <c r="K420">
        <v>43.9</v>
      </c>
      <c r="L420">
        <v>0.18</v>
      </c>
      <c r="M420">
        <v>461.18</v>
      </c>
      <c r="N420">
        <v>24.17</v>
      </c>
      <c r="O420">
        <v>340.02</v>
      </c>
      <c r="P420">
        <v>1.49</v>
      </c>
    </row>
    <row r="421" spans="1:16" x14ac:dyDescent="0.35">
      <c r="A421" s="1">
        <v>40598</v>
      </c>
      <c r="B421" s="2">
        <v>0.5</v>
      </c>
      <c r="D421">
        <v>40.409999999999997</v>
      </c>
      <c r="E421">
        <v>0.16</v>
      </c>
      <c r="F421">
        <v>-7.0000000000000007E-2</v>
      </c>
      <c r="G421">
        <v>4.1399999999999997</v>
      </c>
      <c r="H421">
        <v>4.07</v>
      </c>
      <c r="I421">
        <v>29.2</v>
      </c>
      <c r="J421">
        <v>15.04</v>
      </c>
      <c r="K421">
        <v>79.59</v>
      </c>
      <c r="L421">
        <v>0.09</v>
      </c>
      <c r="M421">
        <v>393.57</v>
      </c>
      <c r="N421">
        <v>25.52</v>
      </c>
      <c r="O421">
        <v>76.34</v>
      </c>
      <c r="P421">
        <v>0.61</v>
      </c>
    </row>
    <row r="422" spans="1:16" x14ac:dyDescent="0.35">
      <c r="A422" s="1">
        <v>40598</v>
      </c>
      <c r="B422" s="2">
        <v>0.54166666666666663</v>
      </c>
      <c r="D422">
        <v>34.200000000000003</v>
      </c>
      <c r="E422">
        <v>0.18</v>
      </c>
      <c r="F422">
        <v>-0.64</v>
      </c>
      <c r="G422">
        <v>3.67</v>
      </c>
      <c r="H422">
        <v>3.03</v>
      </c>
      <c r="I422">
        <v>38.57</v>
      </c>
      <c r="J422">
        <v>12.94</v>
      </c>
      <c r="K422">
        <v>74.38</v>
      </c>
      <c r="L422">
        <v>0.05</v>
      </c>
      <c r="M422">
        <v>331.47</v>
      </c>
      <c r="N422">
        <v>27.16</v>
      </c>
      <c r="O422">
        <v>303.2</v>
      </c>
      <c r="P422">
        <v>0.61</v>
      </c>
    </row>
    <row r="423" spans="1:16" x14ac:dyDescent="0.35">
      <c r="A423" s="1">
        <v>40598</v>
      </c>
      <c r="B423" s="2">
        <v>0.58333333333333337</v>
      </c>
      <c r="D423">
        <v>30.32</v>
      </c>
      <c r="E423">
        <v>0.2</v>
      </c>
      <c r="F423">
        <v>-0.87</v>
      </c>
      <c r="G423">
        <v>4.37</v>
      </c>
      <c r="H423">
        <v>3.5</v>
      </c>
      <c r="I423">
        <v>47.2</v>
      </c>
      <c r="J423">
        <v>16.09</v>
      </c>
      <c r="K423">
        <v>81</v>
      </c>
      <c r="L423">
        <v>-0.03</v>
      </c>
      <c r="M423">
        <v>292.66000000000003</v>
      </c>
      <c r="N423">
        <v>28.19</v>
      </c>
      <c r="O423">
        <v>119.32</v>
      </c>
      <c r="P423">
        <v>0.7</v>
      </c>
    </row>
    <row r="424" spans="1:16" x14ac:dyDescent="0.35">
      <c r="A424" s="1">
        <v>40598</v>
      </c>
      <c r="B424" s="2">
        <v>0.625</v>
      </c>
      <c r="D424">
        <v>31.45</v>
      </c>
      <c r="E424">
        <v>0.22</v>
      </c>
      <c r="F424">
        <v>-1.22</v>
      </c>
      <c r="G424">
        <v>5.36</v>
      </c>
      <c r="H424">
        <v>4.1399999999999997</v>
      </c>
      <c r="I424">
        <v>58.69</v>
      </c>
      <c r="J424">
        <v>27.05</v>
      </c>
      <c r="K424">
        <v>74.040000000000006</v>
      </c>
      <c r="L424">
        <v>0.11</v>
      </c>
      <c r="M424">
        <v>304.8</v>
      </c>
      <c r="N424">
        <v>28.92</v>
      </c>
      <c r="O424">
        <v>110.17</v>
      </c>
      <c r="P424">
        <v>1.1399999999999999</v>
      </c>
    </row>
    <row r="425" spans="1:16" x14ac:dyDescent="0.35">
      <c r="A425" s="1">
        <v>40598</v>
      </c>
      <c r="B425" s="2">
        <v>0.66666666666666663</v>
      </c>
      <c r="D425">
        <v>35.729999999999997</v>
      </c>
      <c r="E425">
        <v>0.19</v>
      </c>
      <c r="F425">
        <v>-0.89</v>
      </c>
      <c r="G425">
        <v>7.36</v>
      </c>
      <c r="H425">
        <v>6.47</v>
      </c>
      <c r="I425">
        <v>55.04</v>
      </c>
      <c r="J425">
        <v>25.45</v>
      </c>
      <c r="K425">
        <v>34.380000000000003</v>
      </c>
      <c r="L425">
        <v>-0.02</v>
      </c>
      <c r="M425">
        <v>347.75</v>
      </c>
      <c r="N425">
        <v>28.9</v>
      </c>
      <c r="O425">
        <v>77.59</v>
      </c>
      <c r="P425">
        <v>2.3199999999999998</v>
      </c>
    </row>
    <row r="426" spans="1:16" x14ac:dyDescent="0.35">
      <c r="A426" s="1">
        <v>40598</v>
      </c>
      <c r="B426" s="2">
        <v>0.70833333333333337</v>
      </c>
      <c r="D426">
        <v>39.1</v>
      </c>
      <c r="E426">
        <v>0.18</v>
      </c>
      <c r="F426">
        <v>-0.2</v>
      </c>
      <c r="G426">
        <v>6.71</v>
      </c>
      <c r="H426">
        <v>6.51</v>
      </c>
      <c r="I426">
        <v>40.799999999999997</v>
      </c>
      <c r="J426">
        <v>17.350000000000001</v>
      </c>
      <c r="K426">
        <v>27.53</v>
      </c>
      <c r="L426">
        <v>-7.0000000000000007E-2</v>
      </c>
      <c r="M426">
        <v>380.46</v>
      </c>
      <c r="N426">
        <v>27.75</v>
      </c>
      <c r="O426">
        <v>71.13</v>
      </c>
      <c r="P426">
        <v>2.82</v>
      </c>
    </row>
    <row r="427" spans="1:16" x14ac:dyDescent="0.35">
      <c r="A427" s="1">
        <v>40598</v>
      </c>
      <c r="B427" s="2">
        <v>0.75</v>
      </c>
      <c r="D427">
        <v>45.78</v>
      </c>
      <c r="E427">
        <v>0.18</v>
      </c>
      <c r="F427">
        <v>-0.18</v>
      </c>
      <c r="G427">
        <v>7.11</v>
      </c>
      <c r="H427">
        <v>6.93</v>
      </c>
      <c r="I427">
        <v>36.67</v>
      </c>
      <c r="J427">
        <v>23.11</v>
      </c>
      <c r="K427">
        <v>31.7</v>
      </c>
      <c r="L427">
        <v>7.0000000000000007E-2</v>
      </c>
      <c r="M427">
        <v>446.73</v>
      </c>
      <c r="N427">
        <v>26.03</v>
      </c>
      <c r="O427">
        <v>80.61</v>
      </c>
      <c r="P427">
        <v>2.54</v>
      </c>
    </row>
    <row r="428" spans="1:16" x14ac:dyDescent="0.35">
      <c r="A428" s="1">
        <v>40598</v>
      </c>
      <c r="B428" s="2">
        <v>0.79166666666666663</v>
      </c>
      <c r="D428">
        <v>56.54</v>
      </c>
      <c r="E428">
        <v>0.17</v>
      </c>
      <c r="F428">
        <v>-1.4</v>
      </c>
      <c r="G428">
        <v>6.84</v>
      </c>
      <c r="H428">
        <v>5.45</v>
      </c>
      <c r="I428">
        <v>33.67</v>
      </c>
      <c r="J428">
        <v>23.55</v>
      </c>
      <c r="K428">
        <v>22.47</v>
      </c>
      <c r="L428">
        <v>0.05</v>
      </c>
      <c r="M428">
        <v>553.99</v>
      </c>
      <c r="N428">
        <v>23.73</v>
      </c>
      <c r="O428">
        <v>100.62</v>
      </c>
      <c r="P428">
        <v>1.91</v>
      </c>
    </row>
    <row r="429" spans="1:16" x14ac:dyDescent="0.35">
      <c r="A429" s="1">
        <v>40598</v>
      </c>
      <c r="B429" s="2">
        <v>0.83333333333333337</v>
      </c>
      <c r="D429">
        <v>66.349999999999994</v>
      </c>
      <c r="E429">
        <v>0.18</v>
      </c>
      <c r="F429">
        <v>-1.06</v>
      </c>
      <c r="G429">
        <v>7.4</v>
      </c>
      <c r="H429">
        <v>6.34</v>
      </c>
      <c r="I429">
        <v>28.28</v>
      </c>
      <c r="J429">
        <v>22.25</v>
      </c>
      <c r="K429">
        <v>21.32</v>
      </c>
      <c r="L429">
        <v>0.36</v>
      </c>
      <c r="M429">
        <v>651.30999999999995</v>
      </c>
      <c r="N429">
        <v>21.83</v>
      </c>
      <c r="O429">
        <v>107.17</v>
      </c>
      <c r="P429">
        <v>1.78</v>
      </c>
    </row>
    <row r="430" spans="1:16" x14ac:dyDescent="0.35">
      <c r="A430" s="1">
        <v>40598</v>
      </c>
      <c r="B430" s="2">
        <v>0.875</v>
      </c>
      <c r="D430">
        <v>71.239999999999995</v>
      </c>
      <c r="E430">
        <v>0.21</v>
      </c>
      <c r="F430">
        <v>-1.34</v>
      </c>
      <c r="G430">
        <v>8.1300000000000008</v>
      </c>
      <c r="H430">
        <v>6.79</v>
      </c>
      <c r="I430">
        <v>26.46</v>
      </c>
      <c r="J430">
        <v>19.850000000000001</v>
      </c>
      <c r="K430">
        <v>47.53</v>
      </c>
      <c r="L430">
        <v>0.89</v>
      </c>
      <c r="M430">
        <v>700.19</v>
      </c>
      <c r="N430">
        <v>20.85</v>
      </c>
      <c r="O430">
        <v>94.92</v>
      </c>
      <c r="P430">
        <v>0.95</v>
      </c>
    </row>
    <row r="431" spans="1:16" x14ac:dyDescent="0.35">
      <c r="A431" s="1">
        <v>40598</v>
      </c>
      <c r="B431" s="2">
        <v>0.91666666666666663</v>
      </c>
      <c r="D431">
        <v>76.64</v>
      </c>
      <c r="E431">
        <v>0.21</v>
      </c>
      <c r="F431">
        <v>-1.44</v>
      </c>
      <c r="G431">
        <v>10.68</v>
      </c>
      <c r="H431">
        <v>9.24</v>
      </c>
      <c r="I431">
        <v>18.63</v>
      </c>
      <c r="J431">
        <v>17.850000000000001</v>
      </c>
      <c r="K431">
        <v>37.82</v>
      </c>
      <c r="L431">
        <v>0.89</v>
      </c>
      <c r="M431">
        <v>754.47</v>
      </c>
      <c r="N431">
        <v>19.77</v>
      </c>
      <c r="O431">
        <v>324.77</v>
      </c>
      <c r="P431">
        <v>0.59</v>
      </c>
    </row>
    <row r="432" spans="1:16" x14ac:dyDescent="0.35">
      <c r="A432" s="1">
        <v>40598</v>
      </c>
      <c r="B432" s="2">
        <v>0.95833333333333337</v>
      </c>
      <c r="D432">
        <v>75.09</v>
      </c>
      <c r="E432">
        <v>0.21</v>
      </c>
      <c r="F432">
        <v>-1.8</v>
      </c>
      <c r="G432">
        <v>14.6</v>
      </c>
      <c r="H432">
        <v>12.8</v>
      </c>
      <c r="I432">
        <v>12.54</v>
      </c>
      <c r="J432">
        <v>15.5</v>
      </c>
      <c r="K432">
        <v>61.92</v>
      </c>
      <c r="L432">
        <v>1.51</v>
      </c>
      <c r="M432">
        <v>739.01</v>
      </c>
      <c r="N432">
        <v>19.68</v>
      </c>
      <c r="O432">
        <v>336.39</v>
      </c>
      <c r="P432">
        <v>0.79</v>
      </c>
    </row>
    <row r="433" spans="1:16" x14ac:dyDescent="0.35">
      <c r="A433" s="1">
        <v>40598</v>
      </c>
      <c r="B433" s="18">
        <v>0</v>
      </c>
      <c r="D433">
        <v>82.67</v>
      </c>
      <c r="E433">
        <v>0.21</v>
      </c>
      <c r="F433">
        <v>-1.54</v>
      </c>
      <c r="G433">
        <v>12.68</v>
      </c>
      <c r="H433">
        <v>11.13</v>
      </c>
      <c r="I433">
        <v>10.47</v>
      </c>
      <c r="J433">
        <v>20.27</v>
      </c>
      <c r="K433">
        <v>58.22</v>
      </c>
      <c r="L433">
        <v>1.59</v>
      </c>
      <c r="M433">
        <v>814.19</v>
      </c>
      <c r="N433">
        <v>18.399999999999999</v>
      </c>
      <c r="O433">
        <v>223.18</v>
      </c>
      <c r="P433">
        <v>0.25</v>
      </c>
    </row>
    <row r="434" spans="1:16" x14ac:dyDescent="0.35">
      <c r="A434" s="1">
        <v>40599</v>
      </c>
      <c r="B434" s="2">
        <v>4.1666666666666664E-2</v>
      </c>
      <c r="D434">
        <v>87.75</v>
      </c>
      <c r="E434">
        <v>0.2</v>
      </c>
      <c r="F434">
        <v>-0.53</v>
      </c>
      <c r="G434">
        <v>13.41</v>
      </c>
      <c r="H434">
        <v>12.88</v>
      </c>
      <c r="I434">
        <v>5.67</v>
      </c>
      <c r="J434">
        <v>14.06</v>
      </c>
      <c r="K434">
        <v>74.38</v>
      </c>
      <c r="L434">
        <v>1</v>
      </c>
      <c r="M434">
        <v>865.09</v>
      </c>
      <c r="N434">
        <v>17.07</v>
      </c>
      <c r="O434">
        <v>38.03</v>
      </c>
      <c r="P434">
        <v>0.19</v>
      </c>
    </row>
    <row r="435" spans="1:16" x14ac:dyDescent="0.35">
      <c r="A435" s="1">
        <v>40599</v>
      </c>
      <c r="B435" s="2">
        <v>8.3333333333333329E-2</v>
      </c>
      <c r="D435">
        <v>89.19</v>
      </c>
      <c r="E435">
        <v>0.2</v>
      </c>
      <c r="F435">
        <v>1.01</v>
      </c>
      <c r="G435">
        <v>14.1</v>
      </c>
      <c r="H435">
        <v>15.11</v>
      </c>
      <c r="I435">
        <v>1.02</v>
      </c>
      <c r="J435">
        <v>10.71</v>
      </c>
      <c r="K435">
        <v>15.46</v>
      </c>
      <c r="L435">
        <v>0.67</v>
      </c>
      <c r="M435">
        <v>879.35</v>
      </c>
      <c r="N435">
        <v>16.559999999999999</v>
      </c>
      <c r="O435">
        <v>8.19</v>
      </c>
      <c r="P435">
        <v>0.56000000000000005</v>
      </c>
    </row>
    <row r="436" spans="1:16" x14ac:dyDescent="0.35">
      <c r="A436" s="1">
        <v>40599</v>
      </c>
      <c r="B436" s="2">
        <v>0.125</v>
      </c>
      <c r="D436">
        <v>89.85</v>
      </c>
      <c r="E436">
        <v>0.2</v>
      </c>
      <c r="F436">
        <v>4.42</v>
      </c>
      <c r="G436">
        <v>12.93</v>
      </c>
      <c r="H436">
        <v>17.350000000000001</v>
      </c>
      <c r="I436">
        <v>0.71</v>
      </c>
      <c r="J436">
        <v>8.94</v>
      </c>
      <c r="K436">
        <v>49.79</v>
      </c>
      <c r="L436">
        <v>0.59</v>
      </c>
      <c r="M436">
        <v>885.97</v>
      </c>
      <c r="N436">
        <v>15.96</v>
      </c>
      <c r="O436">
        <v>358.31</v>
      </c>
      <c r="P436">
        <v>0.64</v>
      </c>
    </row>
    <row r="437" spans="1:16" x14ac:dyDescent="0.35">
      <c r="A437" s="1">
        <v>40599</v>
      </c>
      <c r="B437" s="2">
        <v>0.16666666666666666</v>
      </c>
      <c r="D437">
        <v>91.27</v>
      </c>
      <c r="E437">
        <v>0.21</v>
      </c>
      <c r="F437">
        <v>30.5</v>
      </c>
      <c r="G437">
        <v>12.31</v>
      </c>
      <c r="H437">
        <v>42.81</v>
      </c>
      <c r="I437">
        <v>0.13</v>
      </c>
      <c r="J437">
        <v>14.06</v>
      </c>
      <c r="K437">
        <v>19.68</v>
      </c>
      <c r="L437">
        <v>0.67</v>
      </c>
      <c r="M437">
        <v>900.27</v>
      </c>
      <c r="N437">
        <v>15.36</v>
      </c>
      <c r="O437">
        <v>4.3</v>
      </c>
      <c r="P437">
        <v>0.61</v>
      </c>
    </row>
    <row r="438" spans="1:16" x14ac:dyDescent="0.35">
      <c r="A438" s="1">
        <v>40599</v>
      </c>
      <c r="B438" s="2">
        <v>0.20833333333333334</v>
      </c>
      <c r="D438">
        <v>92.42</v>
      </c>
      <c r="E438">
        <v>0.24</v>
      </c>
      <c r="F438">
        <v>58.77</v>
      </c>
      <c r="G438">
        <v>12.47</v>
      </c>
      <c r="H438">
        <v>71.239999999999995</v>
      </c>
      <c r="I438">
        <v>7.0000000000000007E-2</v>
      </c>
      <c r="J438">
        <v>22.06</v>
      </c>
      <c r="K438">
        <v>54.06</v>
      </c>
      <c r="L438">
        <v>1.17</v>
      </c>
      <c r="M438">
        <v>911.75</v>
      </c>
      <c r="N438">
        <v>14.94</v>
      </c>
      <c r="O438">
        <v>10.69</v>
      </c>
      <c r="P438">
        <v>0.3</v>
      </c>
    </row>
    <row r="439" spans="1:16" x14ac:dyDescent="0.35">
      <c r="A439" s="1">
        <v>40599</v>
      </c>
      <c r="B439" s="2">
        <v>0.25</v>
      </c>
      <c r="D439">
        <v>92.41</v>
      </c>
      <c r="E439">
        <v>0.31</v>
      </c>
      <c r="F439">
        <v>97.07</v>
      </c>
      <c r="G439">
        <v>16.82</v>
      </c>
      <c r="H439">
        <v>113.89</v>
      </c>
      <c r="I439">
        <v>0.27</v>
      </c>
      <c r="J439">
        <v>25.15</v>
      </c>
      <c r="K439">
        <v>56.04</v>
      </c>
      <c r="L439">
        <v>1.57</v>
      </c>
      <c r="M439">
        <v>911.73</v>
      </c>
      <c r="N439">
        <v>14.9</v>
      </c>
      <c r="O439">
        <v>13.31</v>
      </c>
      <c r="P439">
        <v>0.24</v>
      </c>
    </row>
    <row r="440" spans="1:16" x14ac:dyDescent="0.35">
      <c r="A440" s="1">
        <v>40599</v>
      </c>
      <c r="B440" s="2">
        <v>0.29166666666666669</v>
      </c>
    </row>
    <row r="441" spans="1:16" x14ac:dyDescent="0.35">
      <c r="A441" s="1">
        <v>40599</v>
      </c>
      <c r="B441" s="2">
        <v>0.33333333333333331</v>
      </c>
      <c r="D441">
        <v>76.98</v>
      </c>
      <c r="E441">
        <v>0.4</v>
      </c>
      <c r="F441">
        <v>36.17</v>
      </c>
      <c r="G441">
        <v>20.8</v>
      </c>
      <c r="H441">
        <v>56.97</v>
      </c>
      <c r="I441">
        <v>2.42</v>
      </c>
      <c r="J441">
        <v>28.79</v>
      </c>
      <c r="K441">
        <v>28.66</v>
      </c>
      <c r="L441">
        <v>2.0299999999999998</v>
      </c>
      <c r="M441">
        <v>757.91</v>
      </c>
      <c r="N441">
        <v>19.37</v>
      </c>
      <c r="O441">
        <v>316.12</v>
      </c>
      <c r="P441">
        <v>0.96</v>
      </c>
    </row>
    <row r="442" spans="1:16" x14ac:dyDescent="0.35">
      <c r="A442" s="1">
        <v>40599</v>
      </c>
      <c r="B442" s="2">
        <v>0.375</v>
      </c>
      <c r="D442">
        <v>62.19</v>
      </c>
      <c r="E442">
        <v>0.39</v>
      </c>
      <c r="F442">
        <v>19.07</v>
      </c>
      <c r="G442">
        <v>20.440000000000001</v>
      </c>
      <c r="H442">
        <v>39.51</v>
      </c>
      <c r="I442">
        <v>9.8800000000000008</v>
      </c>
      <c r="J442">
        <v>27.47</v>
      </c>
      <c r="K442">
        <v>82.37</v>
      </c>
      <c r="L442">
        <v>2.77</v>
      </c>
      <c r="M442">
        <v>611.08000000000004</v>
      </c>
      <c r="N442">
        <v>22.85</v>
      </c>
      <c r="O442">
        <v>16.7</v>
      </c>
      <c r="P442">
        <v>0.26</v>
      </c>
    </row>
    <row r="443" spans="1:16" x14ac:dyDescent="0.35">
      <c r="A443" s="1">
        <v>40599</v>
      </c>
      <c r="B443" s="2">
        <v>0.41666666666666669</v>
      </c>
      <c r="D443">
        <v>50.18</v>
      </c>
      <c r="E443">
        <v>0.32</v>
      </c>
      <c r="F443">
        <v>6.73</v>
      </c>
      <c r="G443">
        <v>18.62</v>
      </c>
      <c r="H443">
        <v>25.35</v>
      </c>
      <c r="I443">
        <v>21.25</v>
      </c>
      <c r="J443">
        <v>24.49</v>
      </c>
      <c r="K443">
        <v>71.23</v>
      </c>
      <c r="L443">
        <v>4.54</v>
      </c>
      <c r="M443">
        <v>492.43</v>
      </c>
      <c r="N443">
        <v>25.07</v>
      </c>
      <c r="O443">
        <v>134.63</v>
      </c>
      <c r="P443">
        <v>0.73</v>
      </c>
    </row>
    <row r="444" spans="1:16" x14ac:dyDescent="0.35">
      <c r="A444" s="1">
        <v>40599</v>
      </c>
      <c r="B444" s="2">
        <v>0.45833333333333331</v>
      </c>
      <c r="D444">
        <v>44.13</v>
      </c>
      <c r="E444">
        <v>0.32</v>
      </c>
      <c r="F444">
        <v>6.9</v>
      </c>
      <c r="G444">
        <v>21.77</v>
      </c>
      <c r="H444">
        <v>28.67</v>
      </c>
      <c r="I444">
        <v>26.79</v>
      </c>
      <c r="J444">
        <v>32.07</v>
      </c>
      <c r="K444">
        <v>79.13</v>
      </c>
      <c r="L444">
        <v>11.8</v>
      </c>
      <c r="M444">
        <v>431.87</v>
      </c>
      <c r="N444">
        <v>26.58</v>
      </c>
      <c r="O444">
        <v>123.8</v>
      </c>
      <c r="P444">
        <v>0.64</v>
      </c>
    </row>
    <row r="445" spans="1:16" x14ac:dyDescent="0.35">
      <c r="A445" s="1">
        <v>40599</v>
      </c>
      <c r="B445" s="2">
        <v>0.5</v>
      </c>
      <c r="D445">
        <v>36.22</v>
      </c>
      <c r="E445">
        <v>0.26</v>
      </c>
      <c r="F445">
        <v>4.96</v>
      </c>
      <c r="G445">
        <v>18.73</v>
      </c>
      <c r="H445">
        <v>23.7</v>
      </c>
      <c r="I445">
        <v>30.05</v>
      </c>
      <c r="J445">
        <v>18.149999999999999</v>
      </c>
      <c r="K445">
        <v>50.75</v>
      </c>
      <c r="L445">
        <v>10.45</v>
      </c>
      <c r="M445">
        <v>352.59</v>
      </c>
      <c r="N445">
        <v>27.85</v>
      </c>
      <c r="O445">
        <v>102.83</v>
      </c>
      <c r="P445">
        <v>1.4</v>
      </c>
    </row>
    <row r="446" spans="1:16" x14ac:dyDescent="0.35">
      <c r="A446" s="1">
        <v>40599</v>
      </c>
      <c r="B446" s="2">
        <v>0.54166666666666663</v>
      </c>
      <c r="D446">
        <v>34.89</v>
      </c>
      <c r="E446">
        <v>0.21</v>
      </c>
      <c r="F446">
        <v>0.38</v>
      </c>
      <c r="G446">
        <v>10.39</v>
      </c>
      <c r="H446">
        <v>10.77</v>
      </c>
      <c r="I446">
        <v>38.36</v>
      </c>
      <c r="J446">
        <v>20.329999999999998</v>
      </c>
      <c r="K446">
        <v>53.67</v>
      </c>
      <c r="L446">
        <v>6.26</v>
      </c>
      <c r="M446">
        <v>337.88</v>
      </c>
      <c r="N446">
        <v>28.18</v>
      </c>
      <c r="O446">
        <v>61.42</v>
      </c>
      <c r="P446">
        <v>1.36</v>
      </c>
    </row>
    <row r="447" spans="1:16" x14ac:dyDescent="0.35">
      <c r="A447" s="1">
        <v>40599</v>
      </c>
      <c r="B447" s="2">
        <v>0.58333333333333337</v>
      </c>
      <c r="D447">
        <v>39.270000000000003</v>
      </c>
      <c r="E447">
        <v>0.22</v>
      </c>
      <c r="F447">
        <v>-0.67</v>
      </c>
      <c r="G447">
        <v>6.6</v>
      </c>
      <c r="H447">
        <v>5.93</v>
      </c>
      <c r="I447">
        <v>47.92</v>
      </c>
      <c r="J447">
        <v>22.37</v>
      </c>
      <c r="K447">
        <v>41.72</v>
      </c>
      <c r="L447">
        <v>2.35</v>
      </c>
      <c r="M447">
        <v>381.7</v>
      </c>
      <c r="N447">
        <v>27.88</v>
      </c>
      <c r="O447">
        <v>67.540000000000006</v>
      </c>
      <c r="P447">
        <v>2.04</v>
      </c>
    </row>
    <row r="448" spans="1:16" x14ac:dyDescent="0.35">
      <c r="A448" s="1">
        <v>40599</v>
      </c>
      <c r="B448" s="2">
        <v>0.625</v>
      </c>
      <c r="D448">
        <v>38.64</v>
      </c>
      <c r="E448">
        <v>0.23</v>
      </c>
      <c r="F448">
        <v>-7.0000000000000007E-2</v>
      </c>
      <c r="G448">
        <v>11.79</v>
      </c>
      <c r="H448">
        <v>11.73</v>
      </c>
      <c r="I448">
        <v>45.9</v>
      </c>
      <c r="J448">
        <v>16.72</v>
      </c>
      <c r="K448">
        <v>49.08</v>
      </c>
      <c r="L448">
        <v>1.56</v>
      </c>
      <c r="M448">
        <v>375.67</v>
      </c>
      <c r="N448">
        <v>28.05</v>
      </c>
      <c r="O448">
        <v>43.88</v>
      </c>
      <c r="P448">
        <v>1.37</v>
      </c>
    </row>
    <row r="449" spans="1:16" x14ac:dyDescent="0.35">
      <c r="A449" s="1">
        <v>40599</v>
      </c>
      <c r="B449" s="2">
        <v>0.66666666666666663</v>
      </c>
      <c r="D449">
        <v>35.53</v>
      </c>
      <c r="E449">
        <v>0.24</v>
      </c>
      <c r="F449">
        <v>2.0699999999999998</v>
      </c>
      <c r="G449">
        <v>15.67</v>
      </c>
      <c r="H449">
        <v>17.75</v>
      </c>
      <c r="I449">
        <v>34.94</v>
      </c>
      <c r="J449">
        <v>17.21</v>
      </c>
      <c r="K449">
        <v>51.45</v>
      </c>
      <c r="L449">
        <v>0.91</v>
      </c>
      <c r="M449">
        <v>344.5</v>
      </c>
      <c r="N449">
        <v>27.79</v>
      </c>
      <c r="O449">
        <v>52.46</v>
      </c>
      <c r="P449">
        <v>1.31</v>
      </c>
    </row>
    <row r="450" spans="1:16" x14ac:dyDescent="0.35">
      <c r="A450" s="1">
        <v>40599</v>
      </c>
      <c r="B450" s="2">
        <v>0.70833333333333337</v>
      </c>
      <c r="D450">
        <v>36.21</v>
      </c>
      <c r="E450">
        <v>0.22</v>
      </c>
      <c r="F450">
        <v>0.02</v>
      </c>
      <c r="G450">
        <v>12.13</v>
      </c>
      <c r="H450">
        <v>12.15</v>
      </c>
      <c r="I450">
        <v>39.72</v>
      </c>
      <c r="J450">
        <v>21.6</v>
      </c>
      <c r="K450">
        <v>57.61</v>
      </c>
      <c r="L450">
        <v>0.72</v>
      </c>
      <c r="M450">
        <v>351.15</v>
      </c>
      <c r="N450">
        <v>28.06</v>
      </c>
      <c r="O450">
        <v>71.95</v>
      </c>
      <c r="P450">
        <v>1.04</v>
      </c>
    </row>
    <row r="451" spans="1:16" x14ac:dyDescent="0.35">
      <c r="A451" s="1">
        <v>40599</v>
      </c>
      <c r="B451" s="2">
        <v>0.75</v>
      </c>
      <c r="D451">
        <v>38.24</v>
      </c>
      <c r="E451">
        <v>0.19</v>
      </c>
      <c r="F451">
        <v>-0.75</v>
      </c>
      <c r="G451">
        <v>12.74</v>
      </c>
      <c r="H451">
        <v>11.99</v>
      </c>
      <c r="I451">
        <v>40.700000000000003</v>
      </c>
      <c r="J451">
        <v>18.239999999999998</v>
      </c>
      <c r="K451">
        <v>24.12</v>
      </c>
      <c r="L451">
        <v>0.69</v>
      </c>
      <c r="M451">
        <v>371.58</v>
      </c>
      <c r="N451">
        <v>27.23</v>
      </c>
      <c r="O451">
        <v>88.7</v>
      </c>
      <c r="P451">
        <v>1.74</v>
      </c>
    </row>
    <row r="452" spans="1:16" x14ac:dyDescent="0.35">
      <c r="A452" s="1">
        <v>40599</v>
      </c>
      <c r="B452" s="2">
        <v>0.79166666666666663</v>
      </c>
      <c r="D452">
        <v>47.47</v>
      </c>
      <c r="E452">
        <v>0.19</v>
      </c>
      <c r="F452">
        <v>-1.24</v>
      </c>
      <c r="G452">
        <v>13.51</v>
      </c>
      <c r="H452">
        <v>12.27</v>
      </c>
      <c r="I452">
        <v>29.54</v>
      </c>
      <c r="J452">
        <v>31.27</v>
      </c>
      <c r="K452">
        <v>22.94</v>
      </c>
      <c r="L452">
        <v>2.27</v>
      </c>
      <c r="M452">
        <v>463.23</v>
      </c>
      <c r="N452">
        <v>25.59</v>
      </c>
      <c r="O452">
        <v>93.28</v>
      </c>
      <c r="P452">
        <v>1.87</v>
      </c>
    </row>
    <row r="453" spans="1:16" x14ac:dyDescent="0.35">
      <c r="A453" s="1">
        <v>40599</v>
      </c>
      <c r="B453" s="2">
        <v>0.83333333333333337</v>
      </c>
      <c r="D453">
        <v>63.67</v>
      </c>
      <c r="E453">
        <v>0.17</v>
      </c>
      <c r="F453">
        <v>-1.63</v>
      </c>
      <c r="G453">
        <v>11.93</v>
      </c>
      <c r="H453">
        <v>10.3</v>
      </c>
      <c r="I453">
        <v>18.329999999999998</v>
      </c>
      <c r="J453">
        <v>28.12</v>
      </c>
      <c r="K453">
        <v>17.239999999999998</v>
      </c>
      <c r="L453">
        <v>2.15</v>
      </c>
      <c r="M453">
        <v>625.02</v>
      </c>
      <c r="N453">
        <v>23.11</v>
      </c>
      <c r="O453">
        <v>106.47</v>
      </c>
      <c r="P453">
        <v>1.93</v>
      </c>
    </row>
    <row r="454" spans="1:16" x14ac:dyDescent="0.35">
      <c r="A454" s="1">
        <v>40599</v>
      </c>
      <c r="B454" s="2">
        <v>0.875</v>
      </c>
      <c r="D454">
        <v>69.3</v>
      </c>
      <c r="E454">
        <v>0.14000000000000001</v>
      </c>
      <c r="F454">
        <v>-1.66</v>
      </c>
      <c r="G454">
        <v>8.1199999999999992</v>
      </c>
      <c r="H454">
        <v>6.46</v>
      </c>
      <c r="I454">
        <v>18.27</v>
      </c>
      <c r="J454">
        <v>18.98</v>
      </c>
      <c r="K454">
        <v>24.56</v>
      </c>
      <c r="L454">
        <v>-0.02</v>
      </c>
      <c r="M454">
        <v>681.03</v>
      </c>
      <c r="N454">
        <v>22.14</v>
      </c>
      <c r="O454">
        <v>112.66</v>
      </c>
      <c r="P454">
        <v>1.26</v>
      </c>
    </row>
    <row r="455" spans="1:16" x14ac:dyDescent="0.35">
      <c r="A455" s="1">
        <v>40599</v>
      </c>
      <c r="B455" s="2">
        <v>0.91666666666666663</v>
      </c>
      <c r="D455">
        <v>76.72</v>
      </c>
      <c r="E455">
        <v>0.15</v>
      </c>
      <c r="F455">
        <v>-1.49</v>
      </c>
      <c r="G455">
        <v>9.52</v>
      </c>
      <c r="H455">
        <v>8.0299999999999994</v>
      </c>
      <c r="I455">
        <v>12.53</v>
      </c>
      <c r="J455">
        <v>18.850000000000001</v>
      </c>
      <c r="K455">
        <v>23.18</v>
      </c>
      <c r="L455">
        <v>-0.14000000000000001</v>
      </c>
      <c r="M455">
        <v>754.99</v>
      </c>
      <c r="N455">
        <v>21.06</v>
      </c>
      <c r="O455">
        <v>135.01</v>
      </c>
      <c r="P455">
        <v>0.59</v>
      </c>
    </row>
    <row r="456" spans="1:16" x14ac:dyDescent="0.35">
      <c r="A456" s="1">
        <v>40599</v>
      </c>
      <c r="B456" s="2">
        <v>0.95833333333333337</v>
      </c>
      <c r="D456">
        <v>78.98</v>
      </c>
      <c r="E456">
        <v>0.21</v>
      </c>
      <c r="F456">
        <v>1.04</v>
      </c>
      <c r="G456">
        <v>15.28</v>
      </c>
      <c r="H456">
        <v>16.32</v>
      </c>
      <c r="I456">
        <v>6.02</v>
      </c>
      <c r="J456">
        <v>17.36</v>
      </c>
      <c r="K456">
        <v>19.12</v>
      </c>
      <c r="L456">
        <v>-7.0000000000000007E-2</v>
      </c>
      <c r="M456">
        <v>777.74</v>
      </c>
      <c r="N456">
        <v>20.69</v>
      </c>
      <c r="O456">
        <v>115.34</v>
      </c>
      <c r="P456">
        <v>0.62</v>
      </c>
    </row>
    <row r="457" spans="1:16" x14ac:dyDescent="0.35">
      <c r="A457" s="1">
        <v>40599</v>
      </c>
      <c r="B457" s="18">
        <v>0</v>
      </c>
      <c r="D457">
        <v>84.45</v>
      </c>
      <c r="E457">
        <v>0.21</v>
      </c>
      <c r="F457">
        <v>4.76</v>
      </c>
      <c r="G457">
        <v>17.010000000000002</v>
      </c>
      <c r="H457">
        <v>21.76</v>
      </c>
      <c r="I457">
        <v>0.56000000000000005</v>
      </c>
      <c r="J457">
        <v>17.13</v>
      </c>
      <c r="K457">
        <v>73.13</v>
      </c>
      <c r="L457">
        <v>-0.01</v>
      </c>
      <c r="M457">
        <v>832.56</v>
      </c>
      <c r="N457">
        <v>19.77</v>
      </c>
      <c r="O457">
        <v>128.88999999999999</v>
      </c>
      <c r="P457">
        <v>0.28999999999999998</v>
      </c>
    </row>
    <row r="458" spans="1:16" x14ac:dyDescent="0.35">
      <c r="A458" s="1">
        <v>40600</v>
      </c>
      <c r="B458" s="2">
        <v>4.1666666666666664E-2</v>
      </c>
      <c r="D458">
        <v>85.3</v>
      </c>
      <c r="E458">
        <v>0.18</v>
      </c>
      <c r="F458">
        <v>11.55</v>
      </c>
      <c r="G458">
        <v>15.14</v>
      </c>
      <c r="H458">
        <v>26.69</v>
      </c>
      <c r="I458">
        <v>0.02</v>
      </c>
      <c r="J458">
        <v>11.68</v>
      </c>
      <c r="K458">
        <v>66.400000000000006</v>
      </c>
      <c r="L458">
        <v>0.26</v>
      </c>
      <c r="M458">
        <v>841</v>
      </c>
      <c r="N458">
        <v>19.36</v>
      </c>
      <c r="O458">
        <v>356.3</v>
      </c>
      <c r="P458">
        <v>0.22</v>
      </c>
    </row>
    <row r="459" spans="1:16" x14ac:dyDescent="0.35">
      <c r="A459" s="1">
        <v>40600</v>
      </c>
      <c r="B459" s="2">
        <v>8.3333333333333329E-2</v>
      </c>
      <c r="D459">
        <v>87.58</v>
      </c>
      <c r="E459">
        <v>0.16</v>
      </c>
      <c r="F459">
        <v>9.4700000000000006</v>
      </c>
      <c r="G459">
        <v>13.17</v>
      </c>
      <c r="H459">
        <v>22.64</v>
      </c>
      <c r="I459">
        <v>0.01</v>
      </c>
      <c r="J459">
        <v>11.8</v>
      </c>
      <c r="K459">
        <v>51.31</v>
      </c>
      <c r="L459">
        <v>0.25</v>
      </c>
      <c r="M459">
        <v>863.75</v>
      </c>
      <c r="N459">
        <v>19.010000000000002</v>
      </c>
      <c r="O459">
        <v>349.68</v>
      </c>
      <c r="P459">
        <v>0.26</v>
      </c>
    </row>
    <row r="460" spans="1:16" x14ac:dyDescent="0.35">
      <c r="A460" s="1">
        <v>40600</v>
      </c>
      <c r="B460" s="2">
        <v>0.125</v>
      </c>
      <c r="D460">
        <v>88.23</v>
      </c>
      <c r="E460">
        <v>0.16</v>
      </c>
      <c r="F460">
        <v>8.9600000000000009</v>
      </c>
      <c r="G460">
        <v>12.45</v>
      </c>
      <c r="H460">
        <v>21.41</v>
      </c>
      <c r="I460">
        <v>-0.03</v>
      </c>
      <c r="J460">
        <v>8.68</v>
      </c>
      <c r="K460">
        <v>24</v>
      </c>
      <c r="L460">
        <v>0.24</v>
      </c>
      <c r="M460">
        <v>870.24</v>
      </c>
      <c r="N460">
        <v>18.829999999999998</v>
      </c>
      <c r="O460">
        <v>9.8699999999999992</v>
      </c>
      <c r="P460">
        <v>0.47</v>
      </c>
    </row>
    <row r="461" spans="1:16" x14ac:dyDescent="0.35">
      <c r="A461" s="1">
        <v>40600</v>
      </c>
      <c r="B461" s="2">
        <v>0.16666666666666666</v>
      </c>
      <c r="D461">
        <v>89.83</v>
      </c>
      <c r="E461">
        <v>0.16</v>
      </c>
      <c r="F461">
        <v>8.51</v>
      </c>
      <c r="G461">
        <v>12.04</v>
      </c>
      <c r="H461">
        <v>20.55</v>
      </c>
      <c r="I461">
        <v>0</v>
      </c>
      <c r="J461">
        <v>10.92</v>
      </c>
      <c r="K461">
        <v>50.81</v>
      </c>
      <c r="L461">
        <v>0.23</v>
      </c>
      <c r="M461">
        <v>886.14</v>
      </c>
      <c r="N461">
        <v>18.579999999999998</v>
      </c>
      <c r="O461">
        <v>16.11</v>
      </c>
      <c r="P461">
        <v>0.27</v>
      </c>
    </row>
    <row r="462" spans="1:16" x14ac:dyDescent="0.35">
      <c r="A462" s="1">
        <v>40600</v>
      </c>
      <c r="B462" s="2">
        <v>0.20833333333333334</v>
      </c>
      <c r="D462">
        <v>90.78</v>
      </c>
      <c r="E462">
        <v>0.18</v>
      </c>
      <c r="F462">
        <v>23.82</v>
      </c>
      <c r="G462">
        <v>10.89</v>
      </c>
      <c r="H462">
        <v>34.71</v>
      </c>
      <c r="I462">
        <v>-0.04</v>
      </c>
      <c r="J462">
        <v>19.87</v>
      </c>
      <c r="K462">
        <v>42.73</v>
      </c>
      <c r="L462">
        <v>0.34</v>
      </c>
      <c r="M462">
        <v>895.73</v>
      </c>
      <c r="N462">
        <v>18.47</v>
      </c>
      <c r="O462">
        <v>358.22</v>
      </c>
      <c r="P462">
        <v>0.28000000000000003</v>
      </c>
    </row>
    <row r="463" spans="1:16" x14ac:dyDescent="0.35">
      <c r="A463" s="1">
        <v>40600</v>
      </c>
      <c r="B463" s="2">
        <v>0.25</v>
      </c>
      <c r="D463">
        <v>89.63</v>
      </c>
      <c r="E463">
        <v>0.23</v>
      </c>
      <c r="F463">
        <v>36.729999999999997</v>
      </c>
      <c r="G463">
        <v>12.71</v>
      </c>
      <c r="H463">
        <v>49.43</v>
      </c>
      <c r="I463">
        <v>0.04</v>
      </c>
      <c r="J463">
        <v>18.39</v>
      </c>
      <c r="K463">
        <v>43.52</v>
      </c>
      <c r="L463">
        <v>0.51</v>
      </c>
      <c r="M463">
        <v>884.18</v>
      </c>
      <c r="N463">
        <v>18.7</v>
      </c>
      <c r="O463">
        <v>344.57</v>
      </c>
      <c r="P463">
        <v>0.36</v>
      </c>
    </row>
    <row r="464" spans="1:16" x14ac:dyDescent="0.35">
      <c r="A464" s="1">
        <v>40600</v>
      </c>
      <c r="B464" s="2">
        <v>0.29166666666666669</v>
      </c>
      <c r="D464">
        <v>89.08</v>
      </c>
      <c r="E464">
        <v>0.28999999999999998</v>
      </c>
      <c r="F464">
        <v>52.53</v>
      </c>
      <c r="G464">
        <v>13.94</v>
      </c>
      <c r="H464">
        <v>66.47</v>
      </c>
      <c r="I464">
        <v>0.27</v>
      </c>
      <c r="J464">
        <v>27.9</v>
      </c>
      <c r="K464">
        <v>62.79</v>
      </c>
      <c r="L464">
        <v>0.85</v>
      </c>
      <c r="M464">
        <v>878.95</v>
      </c>
      <c r="N464">
        <v>19.170000000000002</v>
      </c>
      <c r="O464">
        <v>347.53</v>
      </c>
      <c r="P464">
        <v>0.21</v>
      </c>
    </row>
    <row r="465" spans="1:16" x14ac:dyDescent="0.35">
      <c r="A465" s="1">
        <v>40600</v>
      </c>
      <c r="B465" s="2">
        <v>0.33333333333333331</v>
      </c>
      <c r="D465">
        <v>82.07</v>
      </c>
      <c r="E465">
        <v>0.33</v>
      </c>
      <c r="F465">
        <v>28.71</v>
      </c>
      <c r="G465">
        <v>18.02</v>
      </c>
      <c r="H465">
        <v>46.73</v>
      </c>
      <c r="I465">
        <v>2.13</v>
      </c>
      <c r="J465">
        <v>28.23</v>
      </c>
      <c r="K465">
        <v>49.84</v>
      </c>
      <c r="L465">
        <v>0.78</v>
      </c>
      <c r="M465">
        <v>809.03</v>
      </c>
      <c r="N465">
        <v>21.44</v>
      </c>
      <c r="O465">
        <v>312.87</v>
      </c>
      <c r="P465">
        <v>0.4</v>
      </c>
    </row>
    <row r="466" spans="1:16" x14ac:dyDescent="0.35">
      <c r="A466" s="1">
        <v>40600</v>
      </c>
      <c r="B466" s="2">
        <v>0.375</v>
      </c>
      <c r="D466">
        <v>74.37</v>
      </c>
      <c r="E466">
        <v>0.24</v>
      </c>
      <c r="F466">
        <v>11.17</v>
      </c>
      <c r="G466">
        <v>12.66</v>
      </c>
      <c r="H466">
        <v>23.83</v>
      </c>
      <c r="I466">
        <v>9.1999999999999993</v>
      </c>
      <c r="J466">
        <v>21.79</v>
      </c>
      <c r="K466">
        <v>73.760000000000005</v>
      </c>
      <c r="L466">
        <v>1.04</v>
      </c>
      <c r="M466">
        <v>733.19</v>
      </c>
      <c r="N466">
        <v>23.62</v>
      </c>
      <c r="O466">
        <v>329.41</v>
      </c>
      <c r="P466">
        <v>0.63</v>
      </c>
    </row>
    <row r="467" spans="1:16" x14ac:dyDescent="0.35">
      <c r="A467" s="1">
        <v>40600</v>
      </c>
      <c r="B467" s="2">
        <v>0.41666666666666669</v>
      </c>
      <c r="D467">
        <v>58.83</v>
      </c>
      <c r="E467">
        <v>0.14000000000000001</v>
      </c>
      <c r="F467">
        <v>1.66</v>
      </c>
      <c r="G467">
        <v>5.79</v>
      </c>
      <c r="H467">
        <v>7.45</v>
      </c>
      <c r="I467">
        <v>20.29</v>
      </c>
      <c r="J467">
        <v>6.06</v>
      </c>
      <c r="K467">
        <v>73.349999999999994</v>
      </c>
      <c r="L467">
        <v>0.34</v>
      </c>
      <c r="M467">
        <v>579.78</v>
      </c>
      <c r="N467">
        <v>26.06</v>
      </c>
      <c r="O467">
        <v>48.62</v>
      </c>
      <c r="P467">
        <v>0.66</v>
      </c>
    </row>
    <row r="468" spans="1:16" x14ac:dyDescent="0.35">
      <c r="A468" s="1">
        <v>40600</v>
      </c>
      <c r="B468" s="2">
        <v>0.45833333333333331</v>
      </c>
      <c r="D468">
        <v>43.31</v>
      </c>
      <c r="E468">
        <v>0.1</v>
      </c>
      <c r="F468">
        <v>-0.56999999999999995</v>
      </c>
      <c r="G468">
        <v>4.17</v>
      </c>
      <c r="H468">
        <v>3.6</v>
      </c>
      <c r="I468">
        <v>30.44</v>
      </c>
      <c r="J468">
        <v>2.8</v>
      </c>
      <c r="K468">
        <v>71.17</v>
      </c>
      <c r="L468">
        <v>7.0000000000000007E-2</v>
      </c>
      <c r="M468">
        <v>422.8</v>
      </c>
      <c r="N468">
        <v>28.28</v>
      </c>
      <c r="O468">
        <v>356.24</v>
      </c>
      <c r="P468">
        <v>0.79</v>
      </c>
    </row>
    <row r="469" spans="1:16" x14ac:dyDescent="0.35">
      <c r="A469" s="1">
        <v>40600</v>
      </c>
      <c r="B469" s="2">
        <v>0.5</v>
      </c>
      <c r="D469">
        <v>36.25</v>
      </c>
      <c r="E469">
        <v>0.15</v>
      </c>
      <c r="F469">
        <v>-0.94</v>
      </c>
      <c r="G469">
        <v>3.88</v>
      </c>
      <c r="H469">
        <v>2.95</v>
      </c>
      <c r="I469">
        <v>41.9</v>
      </c>
      <c r="J469">
        <v>8.19</v>
      </c>
      <c r="K469">
        <v>66.88</v>
      </c>
      <c r="L469">
        <v>0.59</v>
      </c>
      <c r="M469">
        <v>352.2</v>
      </c>
      <c r="N469">
        <v>29.98</v>
      </c>
      <c r="O469">
        <v>16.309999999999999</v>
      </c>
      <c r="P469">
        <v>0.9</v>
      </c>
    </row>
    <row r="470" spans="1:16" x14ac:dyDescent="0.35">
      <c r="A470" s="1">
        <v>40600</v>
      </c>
      <c r="B470" s="2">
        <v>0.54166666666666663</v>
      </c>
      <c r="D470">
        <v>32.93</v>
      </c>
      <c r="E470">
        <v>0.22</v>
      </c>
      <c r="F470">
        <v>-1.08</v>
      </c>
      <c r="G470">
        <v>3.56</v>
      </c>
      <c r="H470">
        <v>2.48</v>
      </c>
      <c r="I470">
        <v>52.45</v>
      </c>
      <c r="J470">
        <v>23.02</v>
      </c>
      <c r="K470">
        <v>85.65</v>
      </c>
      <c r="L470">
        <v>0.84</v>
      </c>
      <c r="M470">
        <v>318.51</v>
      </c>
      <c r="N470">
        <v>31.22</v>
      </c>
      <c r="O470">
        <v>233.09</v>
      </c>
      <c r="P470">
        <v>0.36</v>
      </c>
    </row>
    <row r="471" spans="1:16" x14ac:dyDescent="0.35">
      <c r="A471" s="1">
        <v>40600</v>
      </c>
      <c r="B471" s="2">
        <v>0.58333333333333337</v>
      </c>
      <c r="D471">
        <v>45.02</v>
      </c>
      <c r="E471">
        <v>1.1599999999999999</v>
      </c>
      <c r="F471">
        <v>-1.07</v>
      </c>
      <c r="G471">
        <v>6.42</v>
      </c>
      <c r="H471">
        <v>5.34</v>
      </c>
      <c r="I471">
        <v>56.15</v>
      </c>
      <c r="J471">
        <v>59.79</v>
      </c>
      <c r="K471">
        <v>28.61</v>
      </c>
      <c r="L471">
        <v>0.76</v>
      </c>
      <c r="M471">
        <v>439.33</v>
      </c>
      <c r="N471">
        <v>30.23</v>
      </c>
      <c r="O471">
        <v>107.31</v>
      </c>
      <c r="P471">
        <v>3.08</v>
      </c>
    </row>
    <row r="472" spans="1:16" x14ac:dyDescent="0.35">
      <c r="A472" s="1">
        <v>40600</v>
      </c>
      <c r="B472" s="2">
        <v>0.625</v>
      </c>
      <c r="D472">
        <v>45.72</v>
      </c>
      <c r="E472">
        <v>2.17</v>
      </c>
      <c r="F472">
        <v>-1.0900000000000001</v>
      </c>
      <c r="G472">
        <v>5.75</v>
      </c>
      <c r="H472">
        <v>4.66</v>
      </c>
      <c r="I472">
        <v>56.62</v>
      </c>
      <c r="J472">
        <v>76.59</v>
      </c>
      <c r="K472">
        <v>25.16</v>
      </c>
      <c r="L472">
        <v>0.77</v>
      </c>
      <c r="M472">
        <v>446.37</v>
      </c>
      <c r="N472">
        <v>30.18</v>
      </c>
      <c r="O472">
        <v>91.76</v>
      </c>
      <c r="P472">
        <v>3.22</v>
      </c>
    </row>
    <row r="473" spans="1:16" x14ac:dyDescent="0.35">
      <c r="A473" s="1">
        <v>40600</v>
      </c>
      <c r="B473" s="2">
        <v>0.66666666666666663</v>
      </c>
      <c r="D473">
        <v>47</v>
      </c>
      <c r="E473">
        <v>0.56999999999999995</v>
      </c>
      <c r="F473">
        <v>-1.22</v>
      </c>
      <c r="G473">
        <v>4.58</v>
      </c>
      <c r="H473">
        <v>3.36</v>
      </c>
      <c r="I473">
        <v>46.57</v>
      </c>
      <c r="J473">
        <v>26.94</v>
      </c>
      <c r="K473">
        <v>22.62</v>
      </c>
      <c r="L473">
        <v>0.56999999999999995</v>
      </c>
      <c r="M473">
        <v>459.08</v>
      </c>
      <c r="N473">
        <v>29.34</v>
      </c>
      <c r="O473">
        <v>86.65</v>
      </c>
      <c r="P473">
        <v>3.16</v>
      </c>
    </row>
    <row r="474" spans="1:16" x14ac:dyDescent="0.35">
      <c r="A474" s="1">
        <v>40600</v>
      </c>
      <c r="B474" s="2">
        <v>0.70833333333333337</v>
      </c>
      <c r="D474">
        <v>46.41</v>
      </c>
      <c r="E474">
        <v>0.44</v>
      </c>
      <c r="F474">
        <v>-1.01</v>
      </c>
      <c r="G474">
        <v>5.28</v>
      </c>
      <c r="H474">
        <v>4.2699999999999996</v>
      </c>
      <c r="I474">
        <v>36.56</v>
      </c>
      <c r="J474">
        <v>18.88</v>
      </c>
      <c r="K474">
        <v>26.05</v>
      </c>
      <c r="L474">
        <v>0.27</v>
      </c>
      <c r="M474">
        <v>452.88</v>
      </c>
      <c r="N474">
        <v>28.4</v>
      </c>
      <c r="O474">
        <v>80.84</v>
      </c>
      <c r="P474">
        <v>3.07</v>
      </c>
    </row>
    <row r="475" spans="1:16" x14ac:dyDescent="0.35">
      <c r="A475" s="1">
        <v>40600</v>
      </c>
      <c r="B475" s="2">
        <v>0.75</v>
      </c>
      <c r="D475">
        <v>50.68</v>
      </c>
      <c r="E475">
        <v>0.49</v>
      </c>
      <c r="F475">
        <v>-1.03</v>
      </c>
      <c r="G475">
        <v>5.29</v>
      </c>
      <c r="H475">
        <v>4.26</v>
      </c>
      <c r="I475">
        <v>32.270000000000003</v>
      </c>
      <c r="J475">
        <v>26.18</v>
      </c>
      <c r="K475">
        <v>31.74</v>
      </c>
      <c r="L475">
        <v>0.72</v>
      </c>
      <c r="M475">
        <v>495.92</v>
      </c>
      <c r="N475">
        <v>26.68</v>
      </c>
      <c r="O475">
        <v>77.59</v>
      </c>
      <c r="P475">
        <v>2.65</v>
      </c>
    </row>
    <row r="476" spans="1:16" x14ac:dyDescent="0.35">
      <c r="A476" s="1">
        <v>40600</v>
      </c>
      <c r="B476" s="2">
        <v>0.79166666666666663</v>
      </c>
      <c r="D476">
        <v>51.7</v>
      </c>
      <c r="E476">
        <v>0.17</v>
      </c>
      <c r="F476">
        <v>-1.39</v>
      </c>
      <c r="G476">
        <v>3.92</v>
      </c>
      <c r="H476">
        <v>2.5299999999999998</v>
      </c>
      <c r="I476">
        <v>28.22</v>
      </c>
      <c r="J476">
        <v>12.75</v>
      </c>
      <c r="K476">
        <v>30.14</v>
      </c>
      <c r="L476">
        <v>0.19</v>
      </c>
      <c r="M476">
        <v>506.04</v>
      </c>
      <c r="N476">
        <v>25.36</v>
      </c>
      <c r="O476">
        <v>90.57</v>
      </c>
      <c r="P476">
        <v>1.99</v>
      </c>
    </row>
    <row r="477" spans="1:16" x14ac:dyDescent="0.35">
      <c r="A477" s="1">
        <v>40600</v>
      </c>
      <c r="B477" s="2">
        <v>0.83333333333333337</v>
      </c>
      <c r="D477">
        <v>57.77</v>
      </c>
      <c r="E477">
        <v>0.13</v>
      </c>
      <c r="F477">
        <v>-1.58</v>
      </c>
      <c r="G477">
        <v>4.6500000000000004</v>
      </c>
      <c r="H477">
        <v>3.07</v>
      </c>
      <c r="I477">
        <v>27.32</v>
      </c>
      <c r="J477">
        <v>13.3</v>
      </c>
      <c r="K477">
        <v>71.92</v>
      </c>
      <c r="L477">
        <v>0</v>
      </c>
      <c r="M477">
        <v>566.35</v>
      </c>
      <c r="N477">
        <v>24.19</v>
      </c>
      <c r="O477">
        <v>113.42</v>
      </c>
      <c r="P477">
        <v>0.67</v>
      </c>
    </row>
    <row r="478" spans="1:16" x14ac:dyDescent="0.35">
      <c r="A478" s="1">
        <v>40600</v>
      </c>
      <c r="B478" s="2">
        <v>0.875</v>
      </c>
      <c r="D478">
        <v>64.930000000000007</v>
      </c>
      <c r="E478">
        <v>0.14000000000000001</v>
      </c>
      <c r="F478">
        <v>-1.47</v>
      </c>
      <c r="G478">
        <v>5.13</v>
      </c>
      <c r="H478">
        <v>3.65</v>
      </c>
      <c r="I478">
        <v>23.73</v>
      </c>
      <c r="J478">
        <v>14.69</v>
      </c>
      <c r="K478">
        <v>91.51</v>
      </c>
      <c r="L478">
        <v>-0.13</v>
      </c>
      <c r="M478">
        <v>637.47</v>
      </c>
      <c r="N478">
        <v>22.63</v>
      </c>
      <c r="O478">
        <v>231.59</v>
      </c>
      <c r="P478">
        <v>0.15</v>
      </c>
    </row>
    <row r="479" spans="1:16" x14ac:dyDescent="0.35">
      <c r="A479" s="1">
        <v>40600</v>
      </c>
      <c r="B479" s="2">
        <v>0.91666666666666663</v>
      </c>
      <c r="D479">
        <v>68.849999999999994</v>
      </c>
      <c r="E479">
        <v>0.16</v>
      </c>
      <c r="F479">
        <v>-1.45</v>
      </c>
      <c r="G479">
        <v>9.15</v>
      </c>
      <c r="H479">
        <v>7.71</v>
      </c>
      <c r="I479">
        <v>18.39</v>
      </c>
      <c r="J479">
        <v>13.68</v>
      </c>
      <c r="K479">
        <v>91.44</v>
      </c>
      <c r="L479">
        <v>-0.17</v>
      </c>
      <c r="M479">
        <v>676.56</v>
      </c>
      <c r="N479">
        <v>21.62</v>
      </c>
      <c r="O479">
        <v>359.16</v>
      </c>
      <c r="P479">
        <v>0.11</v>
      </c>
    </row>
    <row r="480" spans="1:16" x14ac:dyDescent="0.35">
      <c r="A480" s="1">
        <v>40600</v>
      </c>
      <c r="B480" s="2">
        <v>0.95833333333333337</v>
      </c>
      <c r="D480">
        <v>72.790000000000006</v>
      </c>
      <c r="E480">
        <v>0.2</v>
      </c>
      <c r="F480">
        <v>2.76</v>
      </c>
      <c r="G480">
        <v>20.5</v>
      </c>
      <c r="H480">
        <v>23.25</v>
      </c>
      <c r="I480">
        <v>3.92</v>
      </c>
      <c r="J480">
        <v>14.34</v>
      </c>
      <c r="K480">
        <v>75.75</v>
      </c>
      <c r="L480">
        <v>-0.11</v>
      </c>
      <c r="M480">
        <v>716.01</v>
      </c>
      <c r="N480">
        <v>20.8</v>
      </c>
      <c r="O480">
        <v>18.43</v>
      </c>
      <c r="P480">
        <v>0.23</v>
      </c>
    </row>
    <row r="481" spans="1:16" x14ac:dyDescent="0.35">
      <c r="A481" s="1">
        <v>40600</v>
      </c>
      <c r="B481" s="18">
        <v>0</v>
      </c>
      <c r="D481">
        <v>76.53</v>
      </c>
      <c r="E481">
        <v>0.22</v>
      </c>
      <c r="F481">
        <v>2.2799999999999998</v>
      </c>
      <c r="G481">
        <v>19.8</v>
      </c>
      <c r="H481">
        <v>22.08</v>
      </c>
      <c r="I481">
        <v>0.94</v>
      </c>
      <c r="J481">
        <v>16.809999999999999</v>
      </c>
      <c r="K481">
        <v>47.78</v>
      </c>
      <c r="L481">
        <v>-0.1</v>
      </c>
      <c r="M481">
        <v>753.62</v>
      </c>
      <c r="N481">
        <v>20</v>
      </c>
      <c r="O481">
        <v>358.11</v>
      </c>
      <c r="P481">
        <v>0.34</v>
      </c>
    </row>
    <row r="482" spans="1:16" x14ac:dyDescent="0.35">
      <c r="A482" s="1">
        <v>40601</v>
      </c>
      <c r="B482" s="2">
        <v>4.1666666666666664E-2</v>
      </c>
      <c r="D482">
        <v>78.69</v>
      </c>
      <c r="E482">
        <v>0.21</v>
      </c>
      <c r="F482">
        <v>2.21</v>
      </c>
      <c r="G482">
        <v>18.690000000000001</v>
      </c>
      <c r="H482">
        <v>20.9</v>
      </c>
      <c r="I482">
        <v>0.91</v>
      </c>
      <c r="J482">
        <v>13.3</v>
      </c>
      <c r="K482">
        <v>33.03</v>
      </c>
      <c r="L482">
        <v>0.14000000000000001</v>
      </c>
      <c r="M482">
        <v>775.15</v>
      </c>
      <c r="N482">
        <v>19.440000000000001</v>
      </c>
      <c r="O482">
        <v>350.72</v>
      </c>
      <c r="P482">
        <v>0.54</v>
      </c>
    </row>
    <row r="483" spans="1:16" x14ac:dyDescent="0.35">
      <c r="A483" s="1">
        <v>40601</v>
      </c>
      <c r="B483" s="2">
        <v>8.3333333333333329E-2</v>
      </c>
      <c r="D483">
        <v>81.48</v>
      </c>
      <c r="E483">
        <v>0.2</v>
      </c>
      <c r="F483">
        <v>4.57</v>
      </c>
      <c r="G483">
        <v>17.399999999999999</v>
      </c>
      <c r="H483">
        <v>21.97</v>
      </c>
      <c r="I483">
        <v>0.28000000000000003</v>
      </c>
      <c r="J483">
        <v>11.67</v>
      </c>
      <c r="K483">
        <v>48.13</v>
      </c>
      <c r="L483">
        <v>1.27</v>
      </c>
      <c r="M483">
        <v>802.93</v>
      </c>
      <c r="N483">
        <v>18.89</v>
      </c>
      <c r="O483">
        <v>356.2</v>
      </c>
      <c r="P483">
        <v>0.31</v>
      </c>
    </row>
    <row r="484" spans="1:16" x14ac:dyDescent="0.35">
      <c r="A484" s="1">
        <v>40601</v>
      </c>
      <c r="B484" s="2">
        <v>0.125</v>
      </c>
      <c r="D484">
        <v>83.69</v>
      </c>
      <c r="E484">
        <v>0.19</v>
      </c>
      <c r="F484">
        <v>6.25</v>
      </c>
      <c r="G484">
        <v>15.79</v>
      </c>
      <c r="H484">
        <v>22.04</v>
      </c>
      <c r="I484">
        <v>0.03</v>
      </c>
      <c r="J484">
        <v>10.35</v>
      </c>
      <c r="K484">
        <v>30.94</v>
      </c>
      <c r="L484">
        <v>1.0900000000000001</v>
      </c>
      <c r="M484">
        <v>825</v>
      </c>
      <c r="N484">
        <v>18.309999999999999</v>
      </c>
      <c r="O484">
        <v>1.59</v>
      </c>
      <c r="P484">
        <v>0.51</v>
      </c>
    </row>
    <row r="485" spans="1:16" x14ac:dyDescent="0.35">
      <c r="A485" s="1">
        <v>40601</v>
      </c>
      <c r="B485" s="2">
        <v>0.16666666666666666</v>
      </c>
      <c r="D485">
        <v>83.76</v>
      </c>
      <c r="E485">
        <v>0.19</v>
      </c>
      <c r="F485">
        <v>6.6</v>
      </c>
      <c r="G485">
        <v>15.15</v>
      </c>
      <c r="H485">
        <v>21.75</v>
      </c>
      <c r="I485">
        <v>0.23</v>
      </c>
      <c r="J485">
        <v>11.86</v>
      </c>
      <c r="K485">
        <v>28.23</v>
      </c>
      <c r="L485">
        <v>1.0900000000000001</v>
      </c>
      <c r="M485">
        <v>825.88</v>
      </c>
      <c r="N485">
        <v>18.04</v>
      </c>
      <c r="O485">
        <v>334.99</v>
      </c>
      <c r="P485">
        <v>0.56999999999999995</v>
      </c>
    </row>
    <row r="486" spans="1:16" x14ac:dyDescent="0.35">
      <c r="A486" s="1">
        <v>40601</v>
      </c>
      <c r="B486" s="2">
        <v>0.20833333333333334</v>
      </c>
      <c r="D486">
        <v>80.39</v>
      </c>
      <c r="E486">
        <v>0.22</v>
      </c>
      <c r="F486">
        <v>-0.44</v>
      </c>
      <c r="G486">
        <v>14.17</v>
      </c>
      <c r="H486">
        <v>13.73</v>
      </c>
      <c r="I486">
        <v>4.32</v>
      </c>
      <c r="J486">
        <v>13.28</v>
      </c>
      <c r="K486">
        <v>42.57</v>
      </c>
      <c r="L486">
        <v>1.52</v>
      </c>
      <c r="M486">
        <v>792.11</v>
      </c>
      <c r="N486">
        <v>18.54</v>
      </c>
      <c r="O486">
        <v>321.55</v>
      </c>
      <c r="P486">
        <v>0.5</v>
      </c>
    </row>
    <row r="487" spans="1:16" x14ac:dyDescent="0.35">
      <c r="A487" s="1">
        <v>40601</v>
      </c>
      <c r="B487" s="2">
        <v>0.25</v>
      </c>
      <c r="D487">
        <v>82.57</v>
      </c>
      <c r="E487">
        <v>0.25</v>
      </c>
      <c r="F487">
        <v>-0.66</v>
      </c>
      <c r="G487">
        <v>13.84</v>
      </c>
      <c r="H487">
        <v>13.18</v>
      </c>
      <c r="I487">
        <v>3.97</v>
      </c>
      <c r="J487">
        <v>18.16</v>
      </c>
      <c r="K487">
        <v>61.94</v>
      </c>
      <c r="L487">
        <v>1.41</v>
      </c>
      <c r="M487">
        <v>814.06</v>
      </c>
      <c r="N487">
        <v>18.46</v>
      </c>
      <c r="O487">
        <v>320.23</v>
      </c>
      <c r="P487">
        <v>0.22</v>
      </c>
    </row>
    <row r="488" spans="1:16" x14ac:dyDescent="0.35">
      <c r="A488" s="1">
        <v>40601</v>
      </c>
      <c r="B488" s="2">
        <v>0.29166666666666669</v>
      </c>
      <c r="D488">
        <v>78.5</v>
      </c>
      <c r="E488">
        <v>0.28999999999999998</v>
      </c>
      <c r="F488">
        <v>0.1</v>
      </c>
      <c r="G488">
        <v>13.67</v>
      </c>
      <c r="H488">
        <v>13.76</v>
      </c>
      <c r="I488">
        <v>5.19</v>
      </c>
      <c r="J488">
        <v>22.09</v>
      </c>
      <c r="K488">
        <v>47.1</v>
      </c>
      <c r="L488">
        <v>1.74</v>
      </c>
      <c r="M488">
        <v>773.43</v>
      </c>
      <c r="N488">
        <v>19.78</v>
      </c>
      <c r="O488">
        <v>299.13</v>
      </c>
      <c r="P488">
        <v>0.35</v>
      </c>
    </row>
    <row r="489" spans="1:16" x14ac:dyDescent="0.35">
      <c r="A489" s="1">
        <v>40601</v>
      </c>
      <c r="B489" s="2">
        <v>0.33333333333333331</v>
      </c>
      <c r="D489">
        <v>74.010000000000005</v>
      </c>
      <c r="E489">
        <v>0.31</v>
      </c>
      <c r="F489">
        <v>2.5299999999999998</v>
      </c>
      <c r="G489">
        <v>14.34</v>
      </c>
      <c r="H489">
        <v>16.88</v>
      </c>
      <c r="I489">
        <v>7.76</v>
      </c>
      <c r="J489">
        <v>24.15</v>
      </c>
      <c r="K489">
        <v>41.25</v>
      </c>
      <c r="L489">
        <v>2.08</v>
      </c>
      <c r="M489">
        <v>728.71</v>
      </c>
      <c r="N489">
        <v>21</v>
      </c>
      <c r="O489">
        <v>302.95</v>
      </c>
      <c r="P489">
        <v>0.85</v>
      </c>
    </row>
    <row r="490" spans="1:16" x14ac:dyDescent="0.35">
      <c r="A490" s="1">
        <v>40601</v>
      </c>
      <c r="B490" s="2">
        <v>0.375</v>
      </c>
      <c r="D490">
        <v>77.05</v>
      </c>
      <c r="E490">
        <v>0.36</v>
      </c>
      <c r="F490">
        <v>1.7</v>
      </c>
      <c r="G490">
        <v>13.68</v>
      </c>
      <c r="H490">
        <v>15.38</v>
      </c>
      <c r="I490">
        <v>12.14</v>
      </c>
      <c r="J490">
        <v>30.18</v>
      </c>
      <c r="K490">
        <v>38.33</v>
      </c>
      <c r="L490">
        <v>1.88</v>
      </c>
      <c r="M490">
        <v>759.2</v>
      </c>
      <c r="N490">
        <v>21.46</v>
      </c>
      <c r="O490">
        <v>302.37</v>
      </c>
      <c r="P490">
        <v>0.87</v>
      </c>
    </row>
    <row r="491" spans="1:16" x14ac:dyDescent="0.35">
      <c r="A491" s="1">
        <v>40601</v>
      </c>
      <c r="B491" s="2">
        <v>0.41666666666666669</v>
      </c>
      <c r="D491">
        <v>75.739999999999995</v>
      </c>
      <c r="E491">
        <v>0.4</v>
      </c>
      <c r="F491">
        <v>1.95</v>
      </c>
      <c r="G491">
        <v>12.33</v>
      </c>
      <c r="H491">
        <v>14.27</v>
      </c>
      <c r="I491">
        <v>15.43</v>
      </c>
      <c r="J491">
        <v>28.08</v>
      </c>
      <c r="K491">
        <v>52.6</v>
      </c>
      <c r="L491">
        <v>1.72</v>
      </c>
      <c r="M491">
        <v>747.99</v>
      </c>
      <c r="N491">
        <v>22.66</v>
      </c>
      <c r="O491">
        <v>313.66000000000003</v>
      </c>
      <c r="P491">
        <v>0.75</v>
      </c>
    </row>
    <row r="492" spans="1:16" x14ac:dyDescent="0.35">
      <c r="A492" s="1">
        <v>40601</v>
      </c>
      <c r="B492" s="2">
        <v>0.45833333333333331</v>
      </c>
      <c r="D492">
        <v>68.66</v>
      </c>
      <c r="E492">
        <v>0.41</v>
      </c>
      <c r="F492">
        <v>3.68</v>
      </c>
      <c r="G492">
        <v>17.09</v>
      </c>
      <c r="H492">
        <v>20.77</v>
      </c>
      <c r="I492">
        <v>15.16</v>
      </c>
      <c r="J492">
        <v>22.31</v>
      </c>
      <c r="K492">
        <v>35.04</v>
      </c>
      <c r="L492">
        <v>1.88</v>
      </c>
      <c r="M492">
        <v>675.96</v>
      </c>
      <c r="N492">
        <v>24.48</v>
      </c>
      <c r="O492">
        <v>301.94</v>
      </c>
      <c r="P492">
        <v>0.87</v>
      </c>
    </row>
    <row r="493" spans="1:16" x14ac:dyDescent="0.35">
      <c r="A493" s="1">
        <v>40601</v>
      </c>
      <c r="B493" s="2">
        <v>0.5</v>
      </c>
      <c r="D493">
        <v>50.39</v>
      </c>
      <c r="E493">
        <v>0.27</v>
      </c>
      <c r="F493">
        <v>0.68</v>
      </c>
      <c r="G493">
        <v>8.5299999999999994</v>
      </c>
      <c r="H493">
        <v>9.2100000000000009</v>
      </c>
      <c r="I493">
        <v>31.53</v>
      </c>
      <c r="J493">
        <v>10</v>
      </c>
      <c r="K493">
        <v>26.87</v>
      </c>
      <c r="L493">
        <v>1.74</v>
      </c>
      <c r="M493">
        <v>493.34</v>
      </c>
      <c r="N493">
        <v>27.63</v>
      </c>
      <c r="O493">
        <v>307.44</v>
      </c>
      <c r="P493">
        <v>1.9</v>
      </c>
    </row>
    <row r="494" spans="1:16" x14ac:dyDescent="0.35">
      <c r="A494" s="1">
        <v>40601</v>
      </c>
      <c r="B494" s="2">
        <v>0.54166666666666663</v>
      </c>
      <c r="D494">
        <v>48.75</v>
      </c>
      <c r="E494">
        <v>0.25</v>
      </c>
      <c r="F494">
        <v>-0.33</v>
      </c>
      <c r="G494">
        <v>6.65</v>
      </c>
      <c r="H494">
        <v>6.31</v>
      </c>
      <c r="I494">
        <v>37.07</v>
      </c>
      <c r="J494">
        <v>17.989999999999998</v>
      </c>
      <c r="K494">
        <v>21.51</v>
      </c>
      <c r="L494">
        <v>1.67</v>
      </c>
      <c r="M494">
        <v>476.48</v>
      </c>
      <c r="N494">
        <v>27.96</v>
      </c>
      <c r="O494">
        <v>320.10000000000002</v>
      </c>
      <c r="P494">
        <v>2.2599999999999998</v>
      </c>
    </row>
    <row r="495" spans="1:16" x14ac:dyDescent="0.35">
      <c r="A495" s="1">
        <v>40601</v>
      </c>
      <c r="B495" s="2">
        <v>0.58333333333333337</v>
      </c>
      <c r="D495">
        <v>56.4</v>
      </c>
      <c r="E495">
        <v>0.26</v>
      </c>
      <c r="F495">
        <v>-0.89</v>
      </c>
      <c r="G495">
        <v>6.85</v>
      </c>
      <c r="H495">
        <v>5.96</v>
      </c>
      <c r="I495">
        <v>33.35</v>
      </c>
      <c r="J495">
        <v>32.01</v>
      </c>
      <c r="K495">
        <v>24.14</v>
      </c>
      <c r="L495">
        <v>1.3</v>
      </c>
      <c r="M495">
        <v>552.39</v>
      </c>
      <c r="N495">
        <v>27.07</v>
      </c>
      <c r="O495">
        <v>315.89</v>
      </c>
      <c r="P495">
        <v>1.33</v>
      </c>
    </row>
    <row r="496" spans="1:16" x14ac:dyDescent="0.35">
      <c r="A496" s="1">
        <v>40601</v>
      </c>
      <c r="B496" s="2">
        <v>0.625</v>
      </c>
      <c r="D496">
        <v>53.34</v>
      </c>
      <c r="E496">
        <v>0.23</v>
      </c>
      <c r="F496">
        <v>-0.27</v>
      </c>
      <c r="G496">
        <v>9.36</v>
      </c>
      <c r="H496">
        <v>9.09</v>
      </c>
      <c r="I496">
        <v>28.09</v>
      </c>
      <c r="J496">
        <v>13.08</v>
      </c>
      <c r="K496">
        <v>24.27</v>
      </c>
      <c r="L496">
        <v>1.21</v>
      </c>
      <c r="M496">
        <v>522.75</v>
      </c>
      <c r="N496">
        <v>28.1</v>
      </c>
      <c r="O496">
        <v>331.62</v>
      </c>
      <c r="P496">
        <v>1.58</v>
      </c>
    </row>
    <row r="497" spans="1:16" x14ac:dyDescent="0.35">
      <c r="A497" s="1">
        <v>40601</v>
      </c>
      <c r="B497" s="2">
        <v>0.66666666666666663</v>
      </c>
      <c r="D497">
        <v>50.05</v>
      </c>
      <c r="E497">
        <v>0.19</v>
      </c>
      <c r="F497">
        <v>-0.97</v>
      </c>
      <c r="G497">
        <v>6.11</v>
      </c>
      <c r="H497">
        <v>5.13</v>
      </c>
      <c r="I497">
        <v>33.770000000000003</v>
      </c>
      <c r="J497">
        <v>15.58</v>
      </c>
      <c r="K497">
        <v>22.29</v>
      </c>
      <c r="L497">
        <v>2.0299999999999998</v>
      </c>
      <c r="M497">
        <v>489.6</v>
      </c>
      <c r="N497">
        <v>28.95</v>
      </c>
      <c r="O497">
        <v>334.25</v>
      </c>
      <c r="P497">
        <v>2.25</v>
      </c>
    </row>
    <row r="498" spans="1:16" x14ac:dyDescent="0.35">
      <c r="A498" s="1">
        <v>40601</v>
      </c>
      <c r="B498" s="2">
        <v>0.70833333333333337</v>
      </c>
      <c r="D498">
        <v>46.44</v>
      </c>
      <c r="E498">
        <v>0.15</v>
      </c>
      <c r="F498">
        <v>-1.4</v>
      </c>
      <c r="G498">
        <v>6.08</v>
      </c>
      <c r="H498">
        <v>4.68</v>
      </c>
      <c r="I498">
        <v>31.5</v>
      </c>
      <c r="J498">
        <v>7.91</v>
      </c>
      <c r="K498">
        <v>27.1</v>
      </c>
      <c r="L498">
        <v>2.82</v>
      </c>
      <c r="M498">
        <v>453.37</v>
      </c>
      <c r="N498">
        <v>29.2</v>
      </c>
      <c r="O498">
        <v>330.05</v>
      </c>
      <c r="P498">
        <v>1.38</v>
      </c>
    </row>
    <row r="499" spans="1:16" x14ac:dyDescent="0.35">
      <c r="A499" s="1">
        <v>40601</v>
      </c>
      <c r="B499" s="2">
        <v>0.75</v>
      </c>
      <c r="D499">
        <v>56.56</v>
      </c>
      <c r="E499">
        <v>0.25</v>
      </c>
      <c r="F499">
        <v>-1.22</v>
      </c>
      <c r="G499">
        <v>8.44</v>
      </c>
      <c r="H499">
        <v>7.22</v>
      </c>
      <c r="I499">
        <v>29.53</v>
      </c>
      <c r="J499">
        <v>33.450000000000003</v>
      </c>
      <c r="K499">
        <v>85.62</v>
      </c>
      <c r="L499">
        <v>4.4800000000000004</v>
      </c>
      <c r="M499">
        <v>553.91</v>
      </c>
      <c r="N499">
        <v>27.68</v>
      </c>
      <c r="O499">
        <v>113.6</v>
      </c>
      <c r="P499">
        <v>1.39</v>
      </c>
    </row>
    <row r="500" spans="1:16" x14ac:dyDescent="0.35">
      <c r="A500" s="1">
        <v>40601</v>
      </c>
      <c r="B500" s="2">
        <v>0.79166666666666663</v>
      </c>
      <c r="D500">
        <v>75.489999999999995</v>
      </c>
      <c r="E500">
        <v>0.41</v>
      </c>
      <c r="F500">
        <v>-1.48</v>
      </c>
      <c r="G500">
        <v>7.68</v>
      </c>
      <c r="H500">
        <v>6.21</v>
      </c>
      <c r="I500">
        <v>29.42</v>
      </c>
      <c r="J500">
        <v>34</v>
      </c>
      <c r="K500">
        <v>19.559999999999999</v>
      </c>
      <c r="L500">
        <v>1.59</v>
      </c>
      <c r="M500">
        <v>742.97</v>
      </c>
      <c r="N500">
        <v>24.5</v>
      </c>
      <c r="O500">
        <v>110.1</v>
      </c>
      <c r="P500">
        <v>2.0299999999999998</v>
      </c>
    </row>
    <row r="501" spans="1:16" x14ac:dyDescent="0.35">
      <c r="A501" s="1">
        <v>40601</v>
      </c>
      <c r="B501" s="2">
        <v>0.83333333333333337</v>
      </c>
      <c r="D501">
        <v>79.34</v>
      </c>
      <c r="E501">
        <v>0.46</v>
      </c>
      <c r="F501">
        <v>-1.47</v>
      </c>
      <c r="G501">
        <v>7.84</v>
      </c>
      <c r="H501">
        <v>6.37</v>
      </c>
      <c r="I501">
        <v>25.4</v>
      </c>
      <c r="J501">
        <v>26.98</v>
      </c>
      <c r="K501">
        <v>18.62</v>
      </c>
      <c r="L501">
        <v>2.5099999999999998</v>
      </c>
      <c r="M501">
        <v>781.26</v>
      </c>
      <c r="N501">
        <v>23.6</v>
      </c>
      <c r="O501">
        <v>124.74</v>
      </c>
      <c r="P501">
        <v>2.2999999999999998</v>
      </c>
    </row>
    <row r="502" spans="1:16" x14ac:dyDescent="0.35">
      <c r="A502" s="1">
        <v>40601</v>
      </c>
      <c r="B502" s="2">
        <v>0.875</v>
      </c>
      <c r="D502">
        <v>81.05</v>
      </c>
      <c r="E502">
        <v>0.46</v>
      </c>
      <c r="F502">
        <v>-1.21</v>
      </c>
      <c r="G502">
        <v>7.76</v>
      </c>
      <c r="H502">
        <v>6.55</v>
      </c>
      <c r="I502">
        <v>25.04</v>
      </c>
      <c r="J502">
        <v>28.51</v>
      </c>
      <c r="K502">
        <v>19.2</v>
      </c>
      <c r="L502">
        <v>6.14</v>
      </c>
      <c r="M502">
        <v>798.48</v>
      </c>
      <c r="N502">
        <v>23.13</v>
      </c>
      <c r="O502">
        <v>134.52000000000001</v>
      </c>
      <c r="P502">
        <v>2.76</v>
      </c>
    </row>
    <row r="503" spans="1:16" x14ac:dyDescent="0.35">
      <c r="A503" s="1">
        <v>40601</v>
      </c>
      <c r="B503" s="2">
        <v>0.91666666666666663</v>
      </c>
      <c r="D503">
        <v>80.819999999999993</v>
      </c>
      <c r="E503">
        <v>0.42</v>
      </c>
      <c r="F503">
        <v>-1.74</v>
      </c>
      <c r="G503">
        <v>5.36</v>
      </c>
      <c r="H503">
        <v>3.62</v>
      </c>
      <c r="I503">
        <v>27.86</v>
      </c>
      <c r="J503">
        <v>22.07</v>
      </c>
      <c r="K503">
        <v>22.57</v>
      </c>
      <c r="L503">
        <v>3.78</v>
      </c>
      <c r="M503">
        <v>796.34</v>
      </c>
      <c r="N503">
        <v>22.97</v>
      </c>
      <c r="O503">
        <v>138.29</v>
      </c>
      <c r="P503">
        <v>2.58</v>
      </c>
    </row>
    <row r="504" spans="1:16" x14ac:dyDescent="0.35">
      <c r="A504" s="1">
        <v>40601</v>
      </c>
      <c r="B504" s="2">
        <v>0.95833333333333337</v>
      </c>
      <c r="D504">
        <v>81</v>
      </c>
      <c r="E504">
        <v>0.38</v>
      </c>
      <c r="F504">
        <v>-1.69</v>
      </c>
      <c r="G504">
        <v>6.89</v>
      </c>
      <c r="H504">
        <v>5.2</v>
      </c>
      <c r="I504">
        <v>24.85</v>
      </c>
      <c r="J504">
        <v>18.510000000000002</v>
      </c>
      <c r="K504">
        <v>21.24</v>
      </c>
      <c r="L504">
        <v>3.59</v>
      </c>
      <c r="M504">
        <v>798.12</v>
      </c>
      <c r="N504">
        <v>22.67</v>
      </c>
      <c r="O504">
        <v>128.66999999999999</v>
      </c>
      <c r="P504">
        <v>2.0099999999999998</v>
      </c>
    </row>
    <row r="505" spans="1:16" x14ac:dyDescent="0.35">
      <c r="A505" s="1">
        <v>40601</v>
      </c>
      <c r="B505" s="3">
        <v>1</v>
      </c>
      <c r="D505">
        <v>81.2</v>
      </c>
      <c r="E505">
        <v>0.39</v>
      </c>
      <c r="F505">
        <v>-1.58</v>
      </c>
      <c r="G505">
        <v>6.58</v>
      </c>
      <c r="H505">
        <v>5</v>
      </c>
      <c r="I505">
        <v>23.76</v>
      </c>
      <c r="J505">
        <v>23.73</v>
      </c>
      <c r="K505">
        <v>21.6</v>
      </c>
      <c r="L505">
        <v>5.08</v>
      </c>
      <c r="M505">
        <v>799.92</v>
      </c>
      <c r="N505">
        <v>22.46</v>
      </c>
      <c r="O505">
        <v>125.6</v>
      </c>
      <c r="P505">
        <v>1.47</v>
      </c>
    </row>
    <row r="506" spans="1:16" x14ac:dyDescent="0.35">
      <c r="A506" s="1">
        <v>40602</v>
      </c>
      <c r="B506" s="2">
        <v>4.1666666666666664E-2</v>
      </c>
      <c r="D506">
        <v>81.13</v>
      </c>
      <c r="E506">
        <v>0.33</v>
      </c>
      <c r="F506">
        <v>-1.56</v>
      </c>
      <c r="G506">
        <v>3.56</v>
      </c>
      <c r="H506">
        <v>2</v>
      </c>
      <c r="I506">
        <v>26.55</v>
      </c>
      <c r="J506">
        <v>17.329999999999998</v>
      </c>
      <c r="K506">
        <v>26.5</v>
      </c>
      <c r="L506">
        <v>0.81</v>
      </c>
      <c r="M506">
        <v>799.55</v>
      </c>
      <c r="N506">
        <v>22.35</v>
      </c>
      <c r="O506">
        <v>102.42</v>
      </c>
      <c r="P506">
        <v>1.03</v>
      </c>
    </row>
    <row r="507" spans="1:16" x14ac:dyDescent="0.35">
      <c r="A507" s="1">
        <v>40602</v>
      </c>
      <c r="B507" s="2">
        <v>8.3333333333333329E-2</v>
      </c>
      <c r="D507">
        <v>80.03</v>
      </c>
      <c r="E507">
        <v>0.32</v>
      </c>
      <c r="F507">
        <v>-1.55</v>
      </c>
      <c r="G507">
        <v>4.43</v>
      </c>
      <c r="H507">
        <v>2.87</v>
      </c>
      <c r="I507">
        <v>26.35</v>
      </c>
      <c r="J507">
        <v>17.73</v>
      </c>
      <c r="K507">
        <v>25.86</v>
      </c>
      <c r="L507">
        <v>1.74</v>
      </c>
      <c r="M507">
        <v>788.39</v>
      </c>
      <c r="N507">
        <v>22.35</v>
      </c>
      <c r="O507">
        <v>127.04</v>
      </c>
      <c r="P507">
        <v>0.98</v>
      </c>
    </row>
    <row r="508" spans="1:16" x14ac:dyDescent="0.35">
      <c r="A508" s="1">
        <v>40602</v>
      </c>
      <c r="B508" s="2">
        <v>0.125</v>
      </c>
      <c r="D508">
        <v>81.45</v>
      </c>
      <c r="E508">
        <v>0.32</v>
      </c>
      <c r="F508">
        <v>-1.65</v>
      </c>
      <c r="G508">
        <v>4.7</v>
      </c>
      <c r="H508">
        <v>3.05</v>
      </c>
      <c r="I508">
        <v>25.58</v>
      </c>
      <c r="J508">
        <v>17.41</v>
      </c>
      <c r="K508">
        <v>20.34</v>
      </c>
      <c r="L508">
        <v>1.23</v>
      </c>
      <c r="M508">
        <v>802.7</v>
      </c>
      <c r="N508">
        <v>22.16</v>
      </c>
      <c r="O508">
        <v>117.86</v>
      </c>
      <c r="P508">
        <v>1.53</v>
      </c>
    </row>
    <row r="509" spans="1:16" x14ac:dyDescent="0.35">
      <c r="A509" s="1">
        <v>40602</v>
      </c>
      <c r="B509" s="2">
        <v>0.16666666666666666</v>
      </c>
      <c r="D509">
        <v>82.5</v>
      </c>
      <c r="E509">
        <v>0.28000000000000003</v>
      </c>
      <c r="F509">
        <v>-1.55</v>
      </c>
      <c r="G509">
        <v>3.96</v>
      </c>
      <c r="H509">
        <v>2.4</v>
      </c>
      <c r="I509">
        <v>26.84</v>
      </c>
      <c r="J509">
        <v>18.16</v>
      </c>
      <c r="K509">
        <v>22.79</v>
      </c>
      <c r="L509">
        <v>1.21</v>
      </c>
      <c r="M509">
        <v>813.19</v>
      </c>
      <c r="N509">
        <v>21.83</v>
      </c>
      <c r="O509">
        <v>107.89</v>
      </c>
      <c r="P509">
        <v>1.56</v>
      </c>
    </row>
    <row r="510" spans="1:16" x14ac:dyDescent="0.35">
      <c r="A510" s="1">
        <v>40602</v>
      </c>
      <c r="B510" s="2">
        <v>0.20833333333333334</v>
      </c>
      <c r="D510">
        <v>81.5</v>
      </c>
      <c r="E510">
        <v>0.27</v>
      </c>
      <c r="F510">
        <v>-1.43</v>
      </c>
      <c r="G510">
        <v>5.25</v>
      </c>
      <c r="H510">
        <v>3.83</v>
      </c>
      <c r="I510">
        <v>24.96</v>
      </c>
      <c r="J510">
        <v>13.43</v>
      </c>
      <c r="K510">
        <v>27.26</v>
      </c>
      <c r="L510">
        <v>3.36</v>
      </c>
      <c r="M510">
        <v>803.08</v>
      </c>
      <c r="N510">
        <v>21.85</v>
      </c>
      <c r="O510">
        <v>94.97</v>
      </c>
      <c r="P510">
        <v>1.0900000000000001</v>
      </c>
    </row>
    <row r="511" spans="1:16" x14ac:dyDescent="0.35">
      <c r="A511" s="1">
        <v>40602</v>
      </c>
      <c r="B511" s="2">
        <v>0.25</v>
      </c>
      <c r="D511">
        <v>80.650000000000006</v>
      </c>
      <c r="E511">
        <v>0.26</v>
      </c>
      <c r="F511">
        <v>-1.2</v>
      </c>
      <c r="G511">
        <v>11.08</v>
      </c>
      <c r="H511">
        <v>9.8800000000000008</v>
      </c>
      <c r="I511">
        <v>19.579999999999998</v>
      </c>
      <c r="J511">
        <v>14.7</v>
      </c>
      <c r="K511">
        <v>43.69</v>
      </c>
      <c r="L511">
        <v>0.23</v>
      </c>
      <c r="M511">
        <v>794.53</v>
      </c>
      <c r="N511">
        <v>21.89</v>
      </c>
      <c r="O511">
        <v>71.53</v>
      </c>
      <c r="P511">
        <v>0.89</v>
      </c>
    </row>
    <row r="512" spans="1:16" x14ac:dyDescent="0.35">
      <c r="A512" s="1">
        <v>40602</v>
      </c>
      <c r="B512" s="2">
        <v>0.29166666666666669</v>
      </c>
      <c r="D512">
        <v>81.28</v>
      </c>
      <c r="E512">
        <v>0.27</v>
      </c>
      <c r="F512">
        <v>-0.64</v>
      </c>
      <c r="G512">
        <v>14.45</v>
      </c>
      <c r="H512">
        <v>13.81</v>
      </c>
      <c r="I512">
        <v>15.41</v>
      </c>
      <c r="J512">
        <v>22.02</v>
      </c>
      <c r="K512">
        <v>105.25</v>
      </c>
      <c r="L512">
        <v>0.01</v>
      </c>
      <c r="M512">
        <v>800.8</v>
      </c>
      <c r="N512">
        <v>21.94</v>
      </c>
      <c r="O512">
        <v>90.38</v>
      </c>
      <c r="P512">
        <v>0.15</v>
      </c>
    </row>
    <row r="513" spans="1:16" x14ac:dyDescent="0.35">
      <c r="A513" s="1">
        <v>40602</v>
      </c>
      <c r="B513" s="2">
        <v>0.33333333333333331</v>
      </c>
      <c r="D513">
        <v>82.55</v>
      </c>
      <c r="E513">
        <v>0.27</v>
      </c>
      <c r="F513">
        <v>2.61</v>
      </c>
      <c r="G513">
        <v>17.48</v>
      </c>
      <c r="H513">
        <v>20.09</v>
      </c>
      <c r="I513">
        <v>11.83</v>
      </c>
      <c r="J513">
        <v>14.65</v>
      </c>
      <c r="K513">
        <v>32.130000000000003</v>
      </c>
      <c r="L513">
        <v>0.08</v>
      </c>
      <c r="M513">
        <v>813.82</v>
      </c>
      <c r="N513">
        <v>21.92</v>
      </c>
      <c r="O513">
        <v>67.87</v>
      </c>
      <c r="P513">
        <v>1.34</v>
      </c>
    </row>
    <row r="514" spans="1:16" x14ac:dyDescent="0.35">
      <c r="A514" s="1">
        <v>40602</v>
      </c>
      <c r="B514" s="2">
        <v>0.375</v>
      </c>
      <c r="D514">
        <v>74.36</v>
      </c>
      <c r="E514">
        <v>0.25</v>
      </c>
      <c r="F514">
        <v>1.72</v>
      </c>
      <c r="G514">
        <v>9.98</v>
      </c>
      <c r="H514">
        <v>11.69</v>
      </c>
      <c r="I514">
        <v>19.13</v>
      </c>
      <c r="J514">
        <v>16.059999999999999</v>
      </c>
      <c r="K514">
        <v>57.93</v>
      </c>
      <c r="L514">
        <v>0.06</v>
      </c>
      <c r="M514">
        <v>733.47</v>
      </c>
      <c r="N514">
        <v>23.45</v>
      </c>
      <c r="O514">
        <v>37.369999999999997</v>
      </c>
      <c r="P514">
        <v>0.78</v>
      </c>
    </row>
    <row r="515" spans="1:16" x14ac:dyDescent="0.35">
      <c r="A515" s="1">
        <v>40602</v>
      </c>
      <c r="B515" s="2">
        <v>0.41666666666666669</v>
      </c>
      <c r="D515">
        <v>70.97</v>
      </c>
      <c r="E515">
        <v>0.28999999999999998</v>
      </c>
      <c r="F515">
        <v>-0.28000000000000003</v>
      </c>
      <c r="G515">
        <v>7.38</v>
      </c>
      <c r="H515">
        <v>7.1</v>
      </c>
      <c r="I515">
        <v>24.76</v>
      </c>
      <c r="J515">
        <v>16.78</v>
      </c>
      <c r="K515">
        <v>40.36</v>
      </c>
      <c r="L515">
        <v>-0.04</v>
      </c>
      <c r="M515">
        <v>699.51</v>
      </c>
      <c r="N515">
        <v>24.32</v>
      </c>
      <c r="O515">
        <v>112.13</v>
      </c>
      <c r="P515">
        <v>1.36</v>
      </c>
    </row>
    <row r="516" spans="1:16" x14ac:dyDescent="0.35">
      <c r="A516" s="1">
        <v>40602</v>
      </c>
      <c r="B516" s="2">
        <v>0.45833333333333331</v>
      </c>
      <c r="D516">
        <v>62.98</v>
      </c>
      <c r="E516">
        <v>0.4</v>
      </c>
      <c r="F516">
        <v>-0.71</v>
      </c>
      <c r="G516">
        <v>5.14</v>
      </c>
      <c r="H516">
        <v>4.43</v>
      </c>
      <c r="I516">
        <v>33.729999999999997</v>
      </c>
      <c r="J516">
        <v>17.760000000000002</v>
      </c>
      <c r="K516">
        <v>67.39</v>
      </c>
      <c r="L516">
        <v>-7.0000000000000007E-2</v>
      </c>
      <c r="M516">
        <v>620.11</v>
      </c>
      <c r="N516">
        <v>26.27</v>
      </c>
      <c r="O516">
        <v>138.27000000000001</v>
      </c>
      <c r="P516">
        <v>0.94</v>
      </c>
    </row>
    <row r="517" spans="1:16" x14ac:dyDescent="0.35">
      <c r="A517" s="1">
        <v>40602</v>
      </c>
      <c r="B517" s="2">
        <v>0.5</v>
      </c>
      <c r="D517">
        <v>62.2</v>
      </c>
      <c r="E517">
        <v>0.38</v>
      </c>
      <c r="F517">
        <v>0.17</v>
      </c>
      <c r="G517">
        <v>8.56</v>
      </c>
      <c r="H517">
        <v>8.73</v>
      </c>
      <c r="I517">
        <v>37.86</v>
      </c>
      <c r="J517">
        <v>34.049999999999997</v>
      </c>
      <c r="K517">
        <v>29.87</v>
      </c>
      <c r="L517">
        <v>13.8</v>
      </c>
      <c r="M517">
        <v>612.63</v>
      </c>
      <c r="N517">
        <v>27.08</v>
      </c>
      <c r="O517">
        <v>140.28</v>
      </c>
      <c r="P517">
        <v>3.07</v>
      </c>
    </row>
    <row r="518" spans="1:16" x14ac:dyDescent="0.35">
      <c r="A518" s="1">
        <v>40602</v>
      </c>
      <c r="B518" s="2">
        <v>0.54166666666666663</v>
      </c>
      <c r="D518">
        <v>61.97</v>
      </c>
      <c r="E518">
        <v>0.25</v>
      </c>
      <c r="F518">
        <v>0.01</v>
      </c>
      <c r="G518">
        <v>5.01</v>
      </c>
      <c r="H518">
        <v>5.03</v>
      </c>
      <c r="I518">
        <v>37.840000000000003</v>
      </c>
      <c r="J518">
        <v>17.8</v>
      </c>
      <c r="K518">
        <v>29.08</v>
      </c>
      <c r="L518">
        <v>0.54</v>
      </c>
      <c r="M518">
        <v>609.87</v>
      </c>
      <c r="N518">
        <v>27.19</v>
      </c>
      <c r="O518">
        <v>112.09</v>
      </c>
      <c r="P518">
        <v>3.24</v>
      </c>
    </row>
    <row r="519" spans="1:16" x14ac:dyDescent="0.35">
      <c r="A519" s="1">
        <v>40602</v>
      </c>
      <c r="B519" s="2">
        <v>0.58333333333333337</v>
      </c>
      <c r="D519">
        <v>58.61</v>
      </c>
      <c r="E519">
        <v>0.26</v>
      </c>
      <c r="F519">
        <v>-0.47</v>
      </c>
      <c r="G519">
        <v>4.46</v>
      </c>
      <c r="H519">
        <v>3.99</v>
      </c>
      <c r="I519">
        <v>40.76</v>
      </c>
      <c r="J519">
        <v>13.09</v>
      </c>
      <c r="K519">
        <v>24.4</v>
      </c>
      <c r="L519">
        <v>0.33</v>
      </c>
      <c r="M519">
        <v>575.25</v>
      </c>
      <c r="N519">
        <v>27.68</v>
      </c>
      <c r="O519">
        <v>103.58</v>
      </c>
      <c r="P519">
        <v>3.45</v>
      </c>
    </row>
    <row r="520" spans="1:16" x14ac:dyDescent="0.35">
      <c r="A520" s="1">
        <v>40602</v>
      </c>
      <c r="B520" s="2">
        <v>0.625</v>
      </c>
      <c r="D520">
        <v>66.099999999999994</v>
      </c>
      <c r="E520">
        <v>0.34</v>
      </c>
      <c r="F520">
        <v>-0.66</v>
      </c>
      <c r="G520">
        <v>6.74</v>
      </c>
      <c r="H520">
        <v>6.08</v>
      </c>
      <c r="I520">
        <v>39.85</v>
      </c>
      <c r="J520">
        <v>24.8</v>
      </c>
      <c r="K520">
        <v>24.92</v>
      </c>
      <c r="L520">
        <v>1.06</v>
      </c>
      <c r="M520">
        <v>648.94000000000005</v>
      </c>
      <c r="N520">
        <v>26.08</v>
      </c>
      <c r="O520">
        <v>89.4</v>
      </c>
      <c r="P520">
        <v>2.5299999999999998</v>
      </c>
    </row>
    <row r="521" spans="1:16" x14ac:dyDescent="0.35">
      <c r="A521" s="1">
        <v>40602</v>
      </c>
      <c r="B521" s="2">
        <v>0.66666666666666663</v>
      </c>
      <c r="D521">
        <v>75.38</v>
      </c>
      <c r="E521">
        <v>0.39</v>
      </c>
      <c r="F521">
        <v>-0.04</v>
      </c>
      <c r="G521">
        <v>8.9600000000000009</v>
      </c>
      <c r="H521">
        <v>8.92</v>
      </c>
      <c r="I521">
        <v>29.95</v>
      </c>
      <c r="J521">
        <v>13.32</v>
      </c>
      <c r="K521">
        <v>35.01</v>
      </c>
      <c r="L521">
        <v>0.63</v>
      </c>
      <c r="M521">
        <v>742.26</v>
      </c>
      <c r="N521">
        <v>24.24</v>
      </c>
      <c r="O521">
        <v>89.06</v>
      </c>
      <c r="P521">
        <v>1.81</v>
      </c>
    </row>
    <row r="522" spans="1:16" x14ac:dyDescent="0.35">
      <c r="A522" s="1">
        <v>40602</v>
      </c>
      <c r="B522" s="2">
        <v>0.70833333333333337</v>
      </c>
      <c r="D522">
        <v>75.38</v>
      </c>
      <c r="E522">
        <v>0.47</v>
      </c>
      <c r="F522">
        <v>-7.0000000000000007E-2</v>
      </c>
      <c r="G522">
        <v>11.07</v>
      </c>
      <c r="H522">
        <v>11</v>
      </c>
      <c r="I522">
        <v>26.64</v>
      </c>
      <c r="J522">
        <v>21.95</v>
      </c>
      <c r="K522">
        <v>68.02</v>
      </c>
      <c r="L522">
        <v>0.6</v>
      </c>
      <c r="M522">
        <v>742.18</v>
      </c>
      <c r="N522">
        <v>24.06</v>
      </c>
      <c r="O522">
        <v>12.73</v>
      </c>
      <c r="P522">
        <v>0.56000000000000005</v>
      </c>
    </row>
    <row r="523" spans="1:16" x14ac:dyDescent="0.35">
      <c r="A523" s="1">
        <v>40602</v>
      </c>
      <c r="B523" s="2">
        <v>0.75</v>
      </c>
      <c r="D523">
        <v>80.84</v>
      </c>
      <c r="E523">
        <v>0.35</v>
      </c>
      <c r="F523">
        <v>-0.83</v>
      </c>
      <c r="G523">
        <v>10.28</v>
      </c>
      <c r="H523">
        <v>9.4499999999999993</v>
      </c>
      <c r="I523">
        <v>22.19</v>
      </c>
      <c r="J523">
        <v>21.92</v>
      </c>
      <c r="K523">
        <v>41.98</v>
      </c>
      <c r="L523">
        <v>-0.01</v>
      </c>
      <c r="M523">
        <v>796.36</v>
      </c>
      <c r="N523">
        <v>23.5</v>
      </c>
      <c r="O523">
        <v>4.57</v>
      </c>
      <c r="P523">
        <v>1.07</v>
      </c>
    </row>
    <row r="524" spans="1:16" x14ac:dyDescent="0.35">
      <c r="A524" s="1">
        <v>40602</v>
      </c>
      <c r="B524" s="2">
        <v>0.79166666666666663</v>
      </c>
      <c r="D524">
        <v>87.98</v>
      </c>
      <c r="E524">
        <v>0.28000000000000003</v>
      </c>
      <c r="F524">
        <v>-0.34</v>
      </c>
      <c r="G524">
        <v>12.36</v>
      </c>
      <c r="H524">
        <v>12.03</v>
      </c>
      <c r="I524">
        <v>14.8</v>
      </c>
      <c r="J524">
        <v>14.91</v>
      </c>
      <c r="K524">
        <v>78.39</v>
      </c>
      <c r="L524">
        <v>-0.17</v>
      </c>
      <c r="M524">
        <v>865.57</v>
      </c>
      <c r="N524">
        <v>22.74</v>
      </c>
      <c r="O524">
        <v>45.55</v>
      </c>
      <c r="P524">
        <v>0.66</v>
      </c>
    </row>
    <row r="525" spans="1:16" x14ac:dyDescent="0.35">
      <c r="A525" s="1">
        <v>40602</v>
      </c>
      <c r="B525" s="2">
        <v>0.83333333333333337</v>
      </c>
      <c r="D525">
        <v>88.51</v>
      </c>
      <c r="E525">
        <v>0.34</v>
      </c>
      <c r="F525">
        <v>-1.26</v>
      </c>
      <c r="G525">
        <v>10.35</v>
      </c>
      <c r="H525">
        <v>9.08</v>
      </c>
      <c r="I525">
        <v>13.23</v>
      </c>
      <c r="J525">
        <v>15.9</v>
      </c>
      <c r="K525">
        <v>24.7</v>
      </c>
      <c r="L525">
        <v>0.05</v>
      </c>
      <c r="M525">
        <v>870.82</v>
      </c>
      <c r="N525">
        <v>22.79</v>
      </c>
      <c r="O525">
        <v>323.63</v>
      </c>
      <c r="P525">
        <v>1.49</v>
      </c>
    </row>
    <row r="526" spans="1:16" x14ac:dyDescent="0.35">
      <c r="A526" s="1">
        <v>40602</v>
      </c>
      <c r="B526" s="2">
        <v>0.875</v>
      </c>
      <c r="D526">
        <v>88.69</v>
      </c>
      <c r="E526">
        <v>0.56000000000000005</v>
      </c>
      <c r="F526">
        <v>-1.0900000000000001</v>
      </c>
      <c r="G526">
        <v>10.220000000000001</v>
      </c>
      <c r="H526">
        <v>9.1300000000000008</v>
      </c>
      <c r="I526">
        <v>12.57</v>
      </c>
      <c r="J526">
        <v>17.760000000000002</v>
      </c>
      <c r="K526">
        <v>41.59</v>
      </c>
      <c r="L526">
        <v>0.88</v>
      </c>
      <c r="M526">
        <v>874.62</v>
      </c>
      <c r="N526">
        <v>22.96</v>
      </c>
      <c r="O526">
        <v>331.78</v>
      </c>
      <c r="P526">
        <v>1.39</v>
      </c>
    </row>
    <row r="527" spans="1:16" x14ac:dyDescent="0.35">
      <c r="A527" s="1">
        <v>40602</v>
      </c>
      <c r="B527" s="2">
        <v>0.91666666666666663</v>
      </c>
      <c r="D527">
        <v>89.22</v>
      </c>
      <c r="E527">
        <v>0.64</v>
      </c>
      <c r="F527">
        <v>-0.48</v>
      </c>
      <c r="G527">
        <v>10.94</v>
      </c>
      <c r="H527">
        <v>10.46</v>
      </c>
      <c r="I527">
        <v>10.99</v>
      </c>
      <c r="J527">
        <v>14.06</v>
      </c>
      <c r="K527">
        <v>85.39</v>
      </c>
      <c r="L527">
        <v>0.88</v>
      </c>
      <c r="M527">
        <v>879.91</v>
      </c>
      <c r="N527">
        <v>22.84</v>
      </c>
      <c r="O527">
        <v>291.35000000000002</v>
      </c>
      <c r="P527">
        <v>0.19</v>
      </c>
    </row>
    <row r="528" spans="1:16" x14ac:dyDescent="0.35">
      <c r="A528" s="1">
        <v>40602</v>
      </c>
      <c r="B528" s="2">
        <v>0.95833333333333337</v>
      </c>
      <c r="D528">
        <v>92.56</v>
      </c>
      <c r="E528">
        <v>0.65</v>
      </c>
      <c r="F528">
        <v>-0.51</v>
      </c>
      <c r="G528">
        <v>10.7</v>
      </c>
      <c r="H528">
        <v>10.19</v>
      </c>
      <c r="I528">
        <v>5.67</v>
      </c>
      <c r="J528">
        <v>14.31</v>
      </c>
      <c r="K528">
        <v>73.31</v>
      </c>
      <c r="L528">
        <v>0.52</v>
      </c>
      <c r="M528">
        <v>913.21</v>
      </c>
      <c r="N528">
        <v>22.05</v>
      </c>
      <c r="O528">
        <v>272.83</v>
      </c>
      <c r="P528">
        <v>0.15</v>
      </c>
    </row>
    <row r="529" spans="1:16" x14ac:dyDescent="0.35">
      <c r="A529" s="1">
        <v>40602</v>
      </c>
      <c r="B529" s="18">
        <v>0</v>
      </c>
      <c r="D529">
        <v>92.99</v>
      </c>
      <c r="E529">
        <v>0.61</v>
      </c>
      <c r="F529">
        <v>2.0099999999999998</v>
      </c>
      <c r="G529">
        <v>13.19</v>
      </c>
      <c r="H529">
        <v>15.19</v>
      </c>
      <c r="I529">
        <v>2.48</v>
      </c>
      <c r="J529">
        <v>14.85</v>
      </c>
      <c r="K529">
        <v>84.31</v>
      </c>
      <c r="L529">
        <v>0.2</v>
      </c>
      <c r="M529">
        <v>917.6</v>
      </c>
      <c r="N529">
        <v>22.05</v>
      </c>
      <c r="O529">
        <v>7.99</v>
      </c>
      <c r="P529">
        <v>0.21</v>
      </c>
    </row>
    <row r="530" spans="1:16" x14ac:dyDescent="0.35">
      <c r="A530" s="1">
        <v>40603</v>
      </c>
      <c r="B530" s="2">
        <v>4.1666666666666664E-2</v>
      </c>
      <c r="D530">
        <v>88.65</v>
      </c>
      <c r="E530">
        <v>0.46</v>
      </c>
      <c r="F530">
        <v>1.04</v>
      </c>
      <c r="G530">
        <v>8.59</v>
      </c>
      <c r="H530">
        <v>9.64</v>
      </c>
      <c r="I530">
        <v>8.73</v>
      </c>
      <c r="J530">
        <v>13.33</v>
      </c>
      <c r="K530">
        <v>47.8</v>
      </c>
      <c r="L530">
        <v>0.14000000000000001</v>
      </c>
      <c r="M530">
        <v>874.65</v>
      </c>
      <c r="N530">
        <v>22.61</v>
      </c>
      <c r="O530">
        <v>306.73</v>
      </c>
      <c r="P530">
        <v>0.6</v>
      </c>
    </row>
    <row r="531" spans="1:16" x14ac:dyDescent="0.35">
      <c r="A531" s="1">
        <v>40603</v>
      </c>
      <c r="B531" s="2">
        <v>8.3333333333333329E-2</v>
      </c>
      <c r="D531">
        <v>84.65</v>
      </c>
      <c r="E531">
        <v>0.39</v>
      </c>
      <c r="F531">
        <v>-1.51</v>
      </c>
      <c r="G531">
        <v>4.28</v>
      </c>
      <c r="H531">
        <v>2.77</v>
      </c>
      <c r="I531">
        <v>17.09</v>
      </c>
      <c r="J531">
        <v>11.86</v>
      </c>
      <c r="K531">
        <v>31.24</v>
      </c>
      <c r="L531">
        <v>0.28999999999999998</v>
      </c>
      <c r="M531">
        <v>834.46</v>
      </c>
      <c r="N531">
        <v>23.22</v>
      </c>
      <c r="O531">
        <v>295.98</v>
      </c>
      <c r="P531">
        <v>0.67</v>
      </c>
    </row>
    <row r="532" spans="1:16" x14ac:dyDescent="0.35">
      <c r="A532" s="1">
        <v>40603</v>
      </c>
      <c r="B532" s="2">
        <v>0.125</v>
      </c>
      <c r="D532">
        <v>87.14</v>
      </c>
      <c r="E532">
        <v>0.45</v>
      </c>
      <c r="F532">
        <v>-1.33</v>
      </c>
      <c r="G532">
        <v>8.6999999999999993</v>
      </c>
      <c r="H532">
        <v>7.37</v>
      </c>
      <c r="I532">
        <v>11.13</v>
      </c>
      <c r="J532">
        <v>13.87</v>
      </c>
      <c r="K532">
        <v>25.03</v>
      </c>
      <c r="L532">
        <v>0.36</v>
      </c>
      <c r="M532">
        <v>859.37</v>
      </c>
      <c r="N532">
        <v>22.59</v>
      </c>
      <c r="O532">
        <v>306.87</v>
      </c>
      <c r="P532">
        <v>1</v>
      </c>
    </row>
    <row r="533" spans="1:16" x14ac:dyDescent="0.35">
      <c r="A533" s="1">
        <v>40603</v>
      </c>
      <c r="B533" s="2">
        <v>0.16666666666666666</v>
      </c>
      <c r="D533">
        <v>81.42</v>
      </c>
      <c r="E533">
        <v>0.39</v>
      </c>
      <c r="F533">
        <v>-0.17</v>
      </c>
      <c r="G533">
        <v>8.11</v>
      </c>
      <c r="H533">
        <v>7.94</v>
      </c>
      <c r="I533">
        <v>13.28</v>
      </c>
      <c r="J533">
        <v>9.1199999999999992</v>
      </c>
      <c r="K533">
        <v>18.190000000000001</v>
      </c>
      <c r="L533">
        <v>1.23</v>
      </c>
      <c r="M533">
        <v>802.56</v>
      </c>
      <c r="N533">
        <v>23.2</v>
      </c>
      <c r="O533">
        <v>330.44</v>
      </c>
      <c r="P533">
        <v>2.2599999999999998</v>
      </c>
    </row>
    <row r="534" spans="1:16" x14ac:dyDescent="0.35">
      <c r="A534" s="1">
        <v>40603</v>
      </c>
      <c r="B534" s="2">
        <v>0.20833333333333334</v>
      </c>
      <c r="D534">
        <v>73.069999999999993</v>
      </c>
      <c r="E534">
        <v>0.35</v>
      </c>
      <c r="F534">
        <v>-0.56000000000000005</v>
      </c>
      <c r="G534">
        <v>8.4</v>
      </c>
      <c r="H534">
        <v>7.84</v>
      </c>
      <c r="I534">
        <v>13.79</v>
      </c>
      <c r="J534">
        <v>9.1</v>
      </c>
      <c r="K534">
        <v>19.93</v>
      </c>
      <c r="L534">
        <v>1.01</v>
      </c>
      <c r="M534">
        <v>719.2</v>
      </c>
      <c r="N534">
        <v>24.07</v>
      </c>
      <c r="O534">
        <v>319.87</v>
      </c>
      <c r="P534">
        <v>1.81</v>
      </c>
    </row>
    <row r="535" spans="1:16" x14ac:dyDescent="0.35">
      <c r="A535" s="1">
        <v>40603</v>
      </c>
      <c r="B535" s="2">
        <v>0.25</v>
      </c>
      <c r="D535">
        <v>63.13</v>
      </c>
      <c r="E535">
        <v>0.3</v>
      </c>
      <c r="F535">
        <v>5.59</v>
      </c>
      <c r="G535">
        <v>16.75</v>
      </c>
      <c r="H535">
        <v>22.34</v>
      </c>
      <c r="I535">
        <v>8.9700000000000006</v>
      </c>
      <c r="J535">
        <v>12.56</v>
      </c>
      <c r="K535">
        <v>28.86</v>
      </c>
      <c r="L535">
        <v>0.45</v>
      </c>
      <c r="M535">
        <v>620.11</v>
      </c>
      <c r="N535">
        <v>25.24</v>
      </c>
      <c r="O535">
        <v>325.76</v>
      </c>
      <c r="P535">
        <v>2.04</v>
      </c>
    </row>
    <row r="536" spans="1:16" x14ac:dyDescent="0.35">
      <c r="A536" s="1">
        <v>40603</v>
      </c>
      <c r="B536" s="2">
        <v>0.29166666666666669</v>
      </c>
      <c r="D536">
        <v>57.52</v>
      </c>
      <c r="E536">
        <v>0.25</v>
      </c>
      <c r="F536">
        <v>2.96</v>
      </c>
      <c r="G536">
        <v>14.38</v>
      </c>
      <c r="H536">
        <v>17.34</v>
      </c>
      <c r="I536">
        <v>9.93</v>
      </c>
      <c r="J536">
        <v>18.73</v>
      </c>
      <c r="K536">
        <v>18.75</v>
      </c>
      <c r="L536">
        <v>0.41</v>
      </c>
      <c r="M536">
        <v>564</v>
      </c>
      <c r="N536">
        <v>26.17</v>
      </c>
      <c r="O536">
        <v>326.83999999999997</v>
      </c>
      <c r="P536">
        <v>2.92</v>
      </c>
    </row>
    <row r="537" spans="1:16" x14ac:dyDescent="0.35">
      <c r="A537" s="1">
        <v>40603</v>
      </c>
      <c r="B537" s="2">
        <v>0.33333333333333331</v>
      </c>
      <c r="D537">
        <v>54.25</v>
      </c>
      <c r="E537">
        <v>0.24</v>
      </c>
      <c r="F537">
        <v>4.72</v>
      </c>
      <c r="G537">
        <v>14.12</v>
      </c>
      <c r="H537">
        <v>18.84</v>
      </c>
      <c r="I537">
        <v>11.09</v>
      </c>
      <c r="J537">
        <v>19.38</v>
      </c>
      <c r="K537">
        <v>26.21</v>
      </c>
      <c r="L537">
        <v>0.28000000000000003</v>
      </c>
      <c r="M537">
        <v>531.67999999999995</v>
      </c>
      <c r="N537">
        <v>27.22</v>
      </c>
      <c r="O537">
        <v>309.66000000000003</v>
      </c>
      <c r="P537">
        <v>1.81</v>
      </c>
    </row>
    <row r="538" spans="1:16" x14ac:dyDescent="0.35">
      <c r="A538" s="1">
        <v>40603</v>
      </c>
      <c r="B538" s="2">
        <v>0.375</v>
      </c>
      <c r="D538">
        <v>49.75</v>
      </c>
      <c r="E538">
        <v>0.23</v>
      </c>
      <c r="F538">
        <v>6.33</v>
      </c>
      <c r="G538">
        <v>18.149999999999999</v>
      </c>
      <c r="H538">
        <v>24.48</v>
      </c>
      <c r="I538">
        <v>9.68</v>
      </c>
      <c r="J538">
        <v>23.35</v>
      </c>
      <c r="K538">
        <v>31.11</v>
      </c>
      <c r="L538">
        <v>0.57999999999999996</v>
      </c>
      <c r="M538">
        <v>487.03</v>
      </c>
      <c r="N538">
        <v>28.64</v>
      </c>
      <c r="O538">
        <v>294.33</v>
      </c>
      <c r="P538">
        <v>1.1499999999999999</v>
      </c>
    </row>
    <row r="539" spans="1:16" x14ac:dyDescent="0.35">
      <c r="A539" s="1">
        <v>40603</v>
      </c>
      <c r="B539" s="2">
        <v>0.41666666666666669</v>
      </c>
      <c r="D539">
        <v>44.72</v>
      </c>
      <c r="E539">
        <v>0.12</v>
      </c>
      <c r="F539">
        <v>1.0900000000000001</v>
      </c>
      <c r="G539">
        <v>10.8</v>
      </c>
      <c r="H539">
        <v>11.89</v>
      </c>
      <c r="I539">
        <v>16.79</v>
      </c>
      <c r="J539">
        <v>16.260000000000002</v>
      </c>
      <c r="K539">
        <v>26.62</v>
      </c>
      <c r="L539">
        <v>0.03</v>
      </c>
      <c r="M539">
        <v>437.51</v>
      </c>
      <c r="N539">
        <v>29.4</v>
      </c>
      <c r="O539">
        <v>296.63</v>
      </c>
      <c r="P539">
        <v>2.2400000000000002</v>
      </c>
    </row>
    <row r="540" spans="1:16" x14ac:dyDescent="0.35">
      <c r="A540" s="1">
        <v>40603</v>
      </c>
      <c r="B540" s="2">
        <v>0.45833333333333331</v>
      </c>
      <c r="D540">
        <v>43.33</v>
      </c>
      <c r="E540">
        <v>0.11</v>
      </c>
      <c r="F540">
        <v>0.5</v>
      </c>
      <c r="G540">
        <v>10.51</v>
      </c>
      <c r="H540">
        <v>11.01</v>
      </c>
      <c r="I540">
        <v>18.399999999999999</v>
      </c>
      <c r="J540">
        <v>9.5399999999999991</v>
      </c>
      <c r="K540">
        <v>28</v>
      </c>
      <c r="L540">
        <v>-0.1</v>
      </c>
      <c r="M540">
        <v>422.62</v>
      </c>
      <c r="N540">
        <v>29.3</v>
      </c>
      <c r="O540">
        <v>296.5</v>
      </c>
      <c r="P540">
        <v>2.4300000000000002</v>
      </c>
    </row>
    <row r="541" spans="1:16" x14ac:dyDescent="0.35">
      <c r="A541" s="1">
        <v>40603</v>
      </c>
      <c r="B541" s="2">
        <v>0.5</v>
      </c>
      <c r="D541">
        <v>42.72</v>
      </c>
      <c r="E541">
        <v>0.09</v>
      </c>
      <c r="F541">
        <v>7.0000000000000007E-2</v>
      </c>
      <c r="G541">
        <v>6.79</v>
      </c>
      <c r="H541">
        <v>6.86</v>
      </c>
      <c r="I541">
        <v>23.6</v>
      </c>
      <c r="J541">
        <v>13.02</v>
      </c>
      <c r="K541">
        <v>27.93</v>
      </c>
      <c r="L541">
        <v>-0.18</v>
      </c>
      <c r="M541">
        <v>416.09</v>
      </c>
      <c r="N541">
        <v>29.67</v>
      </c>
      <c r="O541">
        <v>292.99</v>
      </c>
      <c r="P541">
        <v>2.25</v>
      </c>
    </row>
    <row r="542" spans="1:16" x14ac:dyDescent="0.35">
      <c r="A542" s="1">
        <v>40603</v>
      </c>
      <c r="B542" s="2">
        <v>0.54166666666666663</v>
      </c>
      <c r="D542">
        <v>42.11</v>
      </c>
      <c r="E542">
        <v>0.1</v>
      </c>
      <c r="F542">
        <v>0.27</v>
      </c>
      <c r="G542">
        <v>6.88</v>
      </c>
      <c r="H542">
        <v>7.15</v>
      </c>
      <c r="I542">
        <v>23.86</v>
      </c>
      <c r="J542">
        <v>9.2799999999999994</v>
      </c>
      <c r="K542">
        <v>23.16</v>
      </c>
      <c r="L542">
        <v>-0.17</v>
      </c>
      <c r="M542">
        <v>410.28</v>
      </c>
      <c r="N542">
        <v>30.05</v>
      </c>
      <c r="O542">
        <v>317.29000000000002</v>
      </c>
      <c r="P542">
        <v>3.16</v>
      </c>
    </row>
    <row r="543" spans="1:16" x14ac:dyDescent="0.35">
      <c r="A543" s="1">
        <v>40603</v>
      </c>
      <c r="B543" s="2">
        <v>0.58333333333333337</v>
      </c>
      <c r="D543">
        <v>39.69</v>
      </c>
      <c r="E543">
        <v>0.11</v>
      </c>
      <c r="F543">
        <v>0.05</v>
      </c>
      <c r="G543">
        <v>4.5999999999999996</v>
      </c>
      <c r="H543">
        <v>4.6399999999999997</v>
      </c>
      <c r="I543">
        <v>26.96</v>
      </c>
      <c r="J543">
        <v>12.57</v>
      </c>
      <c r="K543">
        <v>22.04</v>
      </c>
      <c r="L543">
        <v>-0.15</v>
      </c>
      <c r="M543">
        <v>386</v>
      </c>
      <c r="N543">
        <v>31.07</v>
      </c>
      <c r="O543">
        <v>318.61</v>
      </c>
      <c r="P543">
        <v>3.24</v>
      </c>
    </row>
    <row r="544" spans="1:16" x14ac:dyDescent="0.35">
      <c r="A544" s="1">
        <v>40603</v>
      </c>
      <c r="B544" s="2">
        <v>0.625</v>
      </c>
      <c r="D544">
        <v>38.07</v>
      </c>
      <c r="E544">
        <v>0.16</v>
      </c>
      <c r="F544">
        <v>-0.77</v>
      </c>
      <c r="G544">
        <v>5.91</v>
      </c>
      <c r="H544">
        <v>5.14</v>
      </c>
      <c r="I544">
        <v>31.47</v>
      </c>
      <c r="J544">
        <v>13.38</v>
      </c>
      <c r="K544">
        <v>28.1</v>
      </c>
      <c r="L544">
        <v>-0.23</v>
      </c>
      <c r="M544">
        <v>369.84</v>
      </c>
      <c r="N544">
        <v>32.090000000000003</v>
      </c>
      <c r="O544">
        <v>301.77</v>
      </c>
      <c r="P544">
        <v>2.31</v>
      </c>
    </row>
    <row r="545" spans="1:16" x14ac:dyDescent="0.35">
      <c r="A545" s="1">
        <v>40603</v>
      </c>
      <c r="B545" s="2">
        <v>0.66666666666666663</v>
      </c>
      <c r="D545">
        <v>29.94</v>
      </c>
      <c r="E545">
        <v>0.11</v>
      </c>
      <c r="F545">
        <v>-0.37</v>
      </c>
      <c r="G545">
        <v>8.32</v>
      </c>
      <c r="H545">
        <v>7.95</v>
      </c>
      <c r="I545">
        <v>25.76</v>
      </c>
      <c r="J545">
        <v>-1.23</v>
      </c>
      <c r="K545">
        <v>39.299999999999997</v>
      </c>
      <c r="L545">
        <v>-0.25</v>
      </c>
      <c r="M545">
        <v>288.86</v>
      </c>
      <c r="N545">
        <v>31.88</v>
      </c>
      <c r="O545">
        <v>267.12</v>
      </c>
      <c r="P545">
        <v>1.28</v>
      </c>
    </row>
    <row r="546" spans="1:16" x14ac:dyDescent="0.35">
      <c r="A546" s="1">
        <v>40603</v>
      </c>
      <c r="B546" s="2">
        <v>0.70833333333333337</v>
      </c>
      <c r="D546">
        <v>55.31</v>
      </c>
      <c r="E546">
        <v>0.26</v>
      </c>
      <c r="F546">
        <v>0.24</v>
      </c>
      <c r="G546">
        <v>8.26</v>
      </c>
      <c r="H546">
        <v>8.5</v>
      </c>
      <c r="I546">
        <v>18.34</v>
      </c>
      <c r="J546">
        <v>56.74</v>
      </c>
      <c r="K546">
        <v>43.46</v>
      </c>
      <c r="L546">
        <v>-0.02</v>
      </c>
      <c r="M546">
        <v>540.34</v>
      </c>
      <c r="N546">
        <v>26.76</v>
      </c>
      <c r="O546">
        <v>140.16999999999999</v>
      </c>
      <c r="P546">
        <v>2.88</v>
      </c>
    </row>
    <row r="547" spans="1:16" x14ac:dyDescent="0.35">
      <c r="A547" s="1">
        <v>40603</v>
      </c>
      <c r="B547" s="2">
        <v>0.75</v>
      </c>
      <c r="D547">
        <v>74.77</v>
      </c>
      <c r="E547">
        <v>0.39</v>
      </c>
      <c r="F547">
        <v>-0.3</v>
      </c>
      <c r="G547">
        <v>6.74</v>
      </c>
      <c r="H547">
        <v>6.45</v>
      </c>
      <c r="I547">
        <v>17.66</v>
      </c>
      <c r="J547">
        <v>38.75</v>
      </c>
      <c r="K547">
        <v>18.96</v>
      </c>
      <c r="L547">
        <v>0.25</v>
      </c>
      <c r="M547">
        <v>736.14</v>
      </c>
      <c r="N547">
        <v>22.76</v>
      </c>
      <c r="O547">
        <v>122.51</v>
      </c>
      <c r="P547">
        <v>3.55</v>
      </c>
    </row>
    <row r="548" spans="1:16" x14ac:dyDescent="0.35">
      <c r="A548" s="1">
        <v>40603</v>
      </c>
      <c r="B548" s="2">
        <v>0.79166666666666663</v>
      </c>
      <c r="D548">
        <v>74.59</v>
      </c>
      <c r="E548">
        <v>0.37</v>
      </c>
      <c r="F548">
        <v>-0.99</v>
      </c>
      <c r="G548">
        <v>8.01</v>
      </c>
      <c r="H548">
        <v>7.02</v>
      </c>
      <c r="I548">
        <v>16.21</v>
      </c>
      <c r="J548">
        <v>36.17</v>
      </c>
      <c r="K548">
        <v>20.48</v>
      </c>
      <c r="L548">
        <v>4.96</v>
      </c>
      <c r="M548">
        <v>734.8</v>
      </c>
      <c r="N548">
        <v>22.09</v>
      </c>
      <c r="O548">
        <v>133.35</v>
      </c>
      <c r="P548">
        <v>3.7</v>
      </c>
    </row>
    <row r="549" spans="1:16" x14ac:dyDescent="0.35">
      <c r="A549" s="1">
        <v>40603</v>
      </c>
      <c r="B549" s="2">
        <v>0.83333333333333337</v>
      </c>
      <c r="D549">
        <v>74.66</v>
      </c>
      <c r="E549">
        <v>0.37</v>
      </c>
      <c r="F549">
        <v>-1.25</v>
      </c>
      <c r="G549">
        <v>7.32</v>
      </c>
      <c r="H549">
        <v>6.07</v>
      </c>
      <c r="I549">
        <v>16.93</v>
      </c>
      <c r="J549">
        <v>34.31</v>
      </c>
      <c r="K549">
        <v>21.6</v>
      </c>
      <c r="L549">
        <v>4.5599999999999996</v>
      </c>
      <c r="M549">
        <v>734.97</v>
      </c>
      <c r="N549">
        <v>21.69</v>
      </c>
      <c r="O549">
        <v>137.58000000000001</v>
      </c>
      <c r="P549">
        <v>3.49</v>
      </c>
    </row>
    <row r="550" spans="1:16" x14ac:dyDescent="0.35">
      <c r="A550" s="1">
        <v>40603</v>
      </c>
      <c r="B550" s="2">
        <v>0.875</v>
      </c>
      <c r="D550">
        <v>71.06</v>
      </c>
      <c r="E550">
        <v>0.36</v>
      </c>
      <c r="F550">
        <v>-1.37</v>
      </c>
      <c r="G550">
        <v>6.53</v>
      </c>
      <c r="H550">
        <v>5.16</v>
      </c>
      <c r="I550">
        <v>20.22</v>
      </c>
      <c r="J550">
        <v>27</v>
      </c>
      <c r="K550">
        <v>22.41</v>
      </c>
      <c r="L550">
        <v>4.43</v>
      </c>
      <c r="M550">
        <v>698.93</v>
      </c>
      <c r="N550">
        <v>21.48</v>
      </c>
      <c r="O550">
        <v>136.94999999999999</v>
      </c>
      <c r="P550">
        <v>3.24</v>
      </c>
    </row>
    <row r="551" spans="1:16" x14ac:dyDescent="0.35">
      <c r="A551" s="1">
        <v>40603</v>
      </c>
      <c r="B551" s="2">
        <v>0.91666666666666663</v>
      </c>
      <c r="D551">
        <v>67.510000000000005</v>
      </c>
      <c r="E551">
        <v>0.33</v>
      </c>
      <c r="F551">
        <v>-1.31</v>
      </c>
      <c r="G551">
        <v>5.62</v>
      </c>
      <c r="H551">
        <v>4.3099999999999996</v>
      </c>
      <c r="I551">
        <v>20.87</v>
      </c>
      <c r="J551">
        <v>29.91</v>
      </c>
      <c r="K551">
        <v>22.41</v>
      </c>
      <c r="L551">
        <v>0.89</v>
      </c>
      <c r="M551">
        <v>663.37</v>
      </c>
      <c r="N551">
        <v>21.16</v>
      </c>
      <c r="O551">
        <v>139.56</v>
      </c>
      <c r="P551">
        <v>3.12</v>
      </c>
    </row>
    <row r="552" spans="1:16" x14ac:dyDescent="0.35">
      <c r="A552" s="1">
        <v>40603</v>
      </c>
      <c r="B552" s="2">
        <v>0.95833333333333337</v>
      </c>
      <c r="D552">
        <v>68.819999999999993</v>
      </c>
      <c r="E552">
        <v>0.43</v>
      </c>
      <c r="F552">
        <v>-1.33</v>
      </c>
      <c r="G552">
        <v>4.22</v>
      </c>
      <c r="H552">
        <v>2.89</v>
      </c>
      <c r="I552">
        <v>17.34</v>
      </c>
      <c r="J552">
        <v>39.369999999999997</v>
      </c>
      <c r="K552">
        <v>20.34</v>
      </c>
      <c r="L552">
        <v>0.03</v>
      </c>
      <c r="M552">
        <v>676.53</v>
      </c>
      <c r="N552">
        <v>20.440000000000001</v>
      </c>
      <c r="O552">
        <v>137.61000000000001</v>
      </c>
      <c r="P552">
        <v>3.11</v>
      </c>
    </row>
    <row r="553" spans="1:16" x14ac:dyDescent="0.35">
      <c r="A553" s="1">
        <v>40603</v>
      </c>
      <c r="B553" s="18">
        <v>0</v>
      </c>
      <c r="D553">
        <v>70.430000000000007</v>
      </c>
      <c r="E553">
        <v>0.46</v>
      </c>
      <c r="F553">
        <v>-1.35</v>
      </c>
      <c r="G553">
        <v>4.54</v>
      </c>
      <c r="H553">
        <v>3.19</v>
      </c>
      <c r="I553">
        <v>16.940000000000001</v>
      </c>
      <c r="J553">
        <v>41.55</v>
      </c>
      <c r="K553">
        <v>18.43</v>
      </c>
      <c r="L553">
        <v>2.2799999999999998</v>
      </c>
      <c r="M553">
        <v>692.53</v>
      </c>
      <c r="N553">
        <v>19.82</v>
      </c>
      <c r="O553">
        <v>125.93</v>
      </c>
      <c r="P553">
        <v>3.05</v>
      </c>
    </row>
    <row r="554" spans="1:16" x14ac:dyDescent="0.35">
      <c r="A554" s="1">
        <v>40604</v>
      </c>
      <c r="B554" s="2">
        <v>4.1666666666666664E-2</v>
      </c>
      <c r="D554">
        <v>72.44</v>
      </c>
      <c r="E554">
        <v>0.48</v>
      </c>
      <c r="F554">
        <v>-1.47</v>
      </c>
      <c r="G554">
        <v>4.04</v>
      </c>
      <c r="H554">
        <v>2.57</v>
      </c>
      <c r="I554">
        <v>17.07</v>
      </c>
      <c r="J554">
        <v>37.68</v>
      </c>
      <c r="K554">
        <v>18.46</v>
      </c>
      <c r="L554">
        <v>1.75</v>
      </c>
      <c r="M554">
        <v>712.88</v>
      </c>
      <c r="N554">
        <v>19.079999999999998</v>
      </c>
      <c r="O554">
        <v>120.18</v>
      </c>
      <c r="P554">
        <v>2.4500000000000002</v>
      </c>
    </row>
    <row r="555" spans="1:16" x14ac:dyDescent="0.35">
      <c r="A555" s="1">
        <v>40604</v>
      </c>
      <c r="B555" s="2">
        <v>8.3333333333333329E-2</v>
      </c>
      <c r="D555">
        <v>68.459999999999994</v>
      </c>
      <c r="E555">
        <v>0.41</v>
      </c>
      <c r="F555">
        <v>-1.76</v>
      </c>
      <c r="G555">
        <v>5.7</v>
      </c>
      <c r="H555">
        <v>3.94</v>
      </c>
      <c r="I555">
        <v>15.84</v>
      </c>
      <c r="J555">
        <v>35.47</v>
      </c>
      <c r="K555">
        <v>20.86</v>
      </c>
      <c r="L555">
        <v>7.61</v>
      </c>
      <c r="M555">
        <v>673.17</v>
      </c>
      <c r="N555">
        <v>19.14</v>
      </c>
      <c r="O555">
        <v>135.24</v>
      </c>
      <c r="P555">
        <v>3.01</v>
      </c>
    </row>
    <row r="556" spans="1:16" x14ac:dyDescent="0.35">
      <c r="A556" s="1">
        <v>40604</v>
      </c>
      <c r="B556" s="2">
        <v>0.125</v>
      </c>
      <c r="D556">
        <v>66.540000000000006</v>
      </c>
      <c r="E556">
        <v>0.34</v>
      </c>
      <c r="F556">
        <v>-1.61</v>
      </c>
      <c r="G556">
        <v>4.16</v>
      </c>
      <c r="H556">
        <v>2.5499999999999998</v>
      </c>
      <c r="I556">
        <v>17.52</v>
      </c>
      <c r="J556">
        <v>36.5</v>
      </c>
      <c r="K556">
        <v>19.18</v>
      </c>
      <c r="L556">
        <v>3.53</v>
      </c>
      <c r="M556">
        <v>654.05999999999995</v>
      </c>
      <c r="N556">
        <v>19.079999999999998</v>
      </c>
      <c r="O556">
        <v>119.42</v>
      </c>
      <c r="P556">
        <v>2.65</v>
      </c>
    </row>
    <row r="557" spans="1:16" x14ac:dyDescent="0.35">
      <c r="A557" s="1">
        <v>40604</v>
      </c>
      <c r="B557" s="2">
        <v>0.16666666666666666</v>
      </c>
      <c r="D557">
        <v>65.62</v>
      </c>
      <c r="E557">
        <v>0.32</v>
      </c>
      <c r="F557">
        <v>-1.47</v>
      </c>
      <c r="G557">
        <v>3.85</v>
      </c>
      <c r="H557">
        <v>2.37</v>
      </c>
      <c r="I557">
        <v>17.77</v>
      </c>
      <c r="J557">
        <v>41.75</v>
      </c>
      <c r="K557">
        <v>20.420000000000002</v>
      </c>
      <c r="L557">
        <v>3.71</v>
      </c>
      <c r="M557">
        <v>644.76</v>
      </c>
      <c r="N557">
        <v>19.260000000000002</v>
      </c>
      <c r="O557">
        <v>127.4</v>
      </c>
      <c r="P557">
        <v>2.81</v>
      </c>
    </row>
    <row r="558" spans="1:16" x14ac:dyDescent="0.35">
      <c r="A558" s="1">
        <v>40604</v>
      </c>
      <c r="B558" s="2">
        <v>0.20833333333333334</v>
      </c>
      <c r="D558">
        <v>66.48</v>
      </c>
      <c r="E558">
        <v>0.3</v>
      </c>
      <c r="F558">
        <v>-1.32</v>
      </c>
      <c r="G558">
        <v>4.3899999999999997</v>
      </c>
      <c r="H558">
        <v>3.08</v>
      </c>
      <c r="I558">
        <v>16.510000000000002</v>
      </c>
      <c r="J558">
        <v>36.54</v>
      </c>
      <c r="K558">
        <v>20.92</v>
      </c>
      <c r="L558">
        <v>1.63</v>
      </c>
      <c r="M558">
        <v>653.34</v>
      </c>
      <c r="N558">
        <v>19.059999999999999</v>
      </c>
      <c r="O558">
        <v>112.81</v>
      </c>
      <c r="P558">
        <v>2.39</v>
      </c>
    </row>
    <row r="559" spans="1:16" x14ac:dyDescent="0.35">
      <c r="A559" s="1">
        <v>40604</v>
      </c>
      <c r="B559" s="2">
        <v>0.25</v>
      </c>
      <c r="D559">
        <v>65.41</v>
      </c>
      <c r="E559">
        <v>0.27</v>
      </c>
      <c r="F559">
        <v>-1.35</v>
      </c>
      <c r="G559">
        <v>6.16</v>
      </c>
      <c r="H559">
        <v>4.8</v>
      </c>
      <c r="I559">
        <v>14.83</v>
      </c>
      <c r="J559">
        <v>34.83</v>
      </c>
      <c r="K559">
        <v>20.95</v>
      </c>
      <c r="L559">
        <v>0.56000000000000005</v>
      </c>
      <c r="M559">
        <v>642.61</v>
      </c>
      <c r="N559">
        <v>19.100000000000001</v>
      </c>
      <c r="O559">
        <v>120.54</v>
      </c>
      <c r="P559">
        <v>2.27</v>
      </c>
    </row>
    <row r="560" spans="1:16" x14ac:dyDescent="0.35">
      <c r="A560" s="1">
        <v>40604</v>
      </c>
      <c r="B560" s="2">
        <v>0.29166666666666669</v>
      </c>
      <c r="D560">
        <v>66.06</v>
      </c>
      <c r="E560">
        <v>0.31</v>
      </c>
      <c r="F560">
        <v>1.39</v>
      </c>
      <c r="G560">
        <v>14.81</v>
      </c>
      <c r="H560">
        <v>16.2</v>
      </c>
      <c r="I560">
        <v>7.25</v>
      </c>
      <c r="J560">
        <v>39.99</v>
      </c>
      <c r="K560">
        <v>23.74</v>
      </c>
      <c r="L560">
        <v>2.2999999999999998</v>
      </c>
      <c r="M560">
        <v>649.05999999999995</v>
      </c>
      <c r="N560">
        <v>19.13</v>
      </c>
      <c r="O560">
        <v>124.83</v>
      </c>
      <c r="P560">
        <v>1.7</v>
      </c>
    </row>
    <row r="561" spans="1:16" x14ac:dyDescent="0.35">
      <c r="A561" s="1">
        <v>40604</v>
      </c>
      <c r="B561" s="2">
        <v>0.33333333333333331</v>
      </c>
      <c r="D561">
        <v>65.55</v>
      </c>
      <c r="E561">
        <v>0.28999999999999998</v>
      </c>
      <c r="F561">
        <v>1.22</v>
      </c>
      <c r="G561">
        <v>11.58</v>
      </c>
      <c r="H561">
        <v>12.79</v>
      </c>
      <c r="I561">
        <v>9.6</v>
      </c>
      <c r="J561">
        <v>49.22</v>
      </c>
      <c r="K561">
        <v>22.67</v>
      </c>
      <c r="L561">
        <v>2.15</v>
      </c>
      <c r="M561">
        <v>644.17999999999995</v>
      </c>
      <c r="N561">
        <v>19.25</v>
      </c>
      <c r="O561">
        <v>124.45</v>
      </c>
      <c r="P561">
        <v>1.92</v>
      </c>
    </row>
    <row r="562" spans="1:16" x14ac:dyDescent="0.35">
      <c r="A562" s="1">
        <v>40604</v>
      </c>
      <c r="B562" s="2">
        <v>0.375</v>
      </c>
      <c r="D562">
        <v>62.6</v>
      </c>
      <c r="E562">
        <v>0.27</v>
      </c>
      <c r="F562">
        <v>1.64</v>
      </c>
      <c r="G562">
        <v>12.29</v>
      </c>
      <c r="H562">
        <v>13.93</v>
      </c>
      <c r="I562">
        <v>9.42</v>
      </c>
      <c r="J562">
        <v>39.630000000000003</v>
      </c>
      <c r="K562">
        <v>29.57</v>
      </c>
      <c r="L562">
        <v>1.23</v>
      </c>
      <c r="M562">
        <v>614.58000000000004</v>
      </c>
      <c r="N562">
        <v>19.71</v>
      </c>
      <c r="O562">
        <v>99.06</v>
      </c>
      <c r="P562">
        <v>1.65</v>
      </c>
    </row>
    <row r="563" spans="1:16" x14ac:dyDescent="0.35">
      <c r="A563" s="1">
        <v>40604</v>
      </c>
      <c r="B563" s="2">
        <v>0.41666666666666669</v>
      </c>
      <c r="D563">
        <v>61.45</v>
      </c>
      <c r="E563">
        <v>0.24</v>
      </c>
      <c r="F563">
        <v>0.71</v>
      </c>
      <c r="G563">
        <v>7.53</v>
      </c>
      <c r="H563">
        <v>8.24</v>
      </c>
      <c r="I563">
        <v>14.02</v>
      </c>
      <c r="J563">
        <v>37.049999999999997</v>
      </c>
      <c r="K563">
        <v>35.5</v>
      </c>
      <c r="L563">
        <v>0.49</v>
      </c>
      <c r="M563">
        <v>603.22</v>
      </c>
      <c r="N563">
        <v>19.989999999999998</v>
      </c>
      <c r="O563">
        <v>83.45</v>
      </c>
      <c r="P563">
        <v>1.35</v>
      </c>
    </row>
    <row r="564" spans="1:16" x14ac:dyDescent="0.35">
      <c r="A564" s="1">
        <v>40604</v>
      </c>
      <c r="B564" s="2">
        <v>0.45833333333333331</v>
      </c>
      <c r="D564">
        <v>60.9</v>
      </c>
      <c r="E564">
        <v>0.22</v>
      </c>
      <c r="F564">
        <v>-0.17</v>
      </c>
      <c r="G564">
        <v>5.18</v>
      </c>
      <c r="H564">
        <v>5.01</v>
      </c>
      <c r="I564">
        <v>17.16</v>
      </c>
      <c r="J564">
        <v>38.380000000000003</v>
      </c>
      <c r="K564">
        <v>24.96</v>
      </c>
      <c r="L564">
        <v>0.38</v>
      </c>
      <c r="M564">
        <v>598.13</v>
      </c>
      <c r="N564">
        <v>20.309999999999999</v>
      </c>
      <c r="O564">
        <v>100.36</v>
      </c>
      <c r="P564">
        <v>1.84</v>
      </c>
    </row>
    <row r="565" spans="1:16" x14ac:dyDescent="0.35">
      <c r="A565" s="1">
        <v>40604</v>
      </c>
      <c r="B565" s="2">
        <v>0.5</v>
      </c>
      <c r="D565">
        <v>61.62</v>
      </c>
      <c r="E565">
        <v>0.21</v>
      </c>
      <c r="F565">
        <v>0.81</v>
      </c>
      <c r="G565">
        <v>5.72</v>
      </c>
      <c r="H565">
        <v>6.53</v>
      </c>
      <c r="I565">
        <v>17.350000000000001</v>
      </c>
      <c r="J565">
        <v>30.32</v>
      </c>
      <c r="K565">
        <v>51.94</v>
      </c>
      <c r="L565">
        <v>0.34</v>
      </c>
      <c r="M565">
        <v>605.11</v>
      </c>
      <c r="N565">
        <v>20.47</v>
      </c>
      <c r="O565">
        <v>56.36</v>
      </c>
      <c r="P565">
        <v>1.1499999999999999</v>
      </c>
    </row>
    <row r="566" spans="1:16" x14ac:dyDescent="0.35">
      <c r="A566" s="1">
        <v>40604</v>
      </c>
      <c r="B566" s="2">
        <v>0.54166666666666663</v>
      </c>
      <c r="D566">
        <v>61.99</v>
      </c>
      <c r="E566">
        <v>0.2</v>
      </c>
      <c r="F566">
        <v>0.4</v>
      </c>
      <c r="G566">
        <v>5.5</v>
      </c>
      <c r="H566">
        <v>5.9</v>
      </c>
      <c r="I566">
        <v>17.98</v>
      </c>
      <c r="J566">
        <v>32.42</v>
      </c>
      <c r="K566">
        <v>32.19</v>
      </c>
      <c r="L566">
        <v>0.25</v>
      </c>
      <c r="M566">
        <v>608.79</v>
      </c>
      <c r="N566">
        <v>20.49</v>
      </c>
      <c r="O566">
        <v>73.73</v>
      </c>
      <c r="P566">
        <v>1.7</v>
      </c>
    </row>
    <row r="567" spans="1:16" x14ac:dyDescent="0.35">
      <c r="A567" s="1">
        <v>40604</v>
      </c>
      <c r="B567" s="2">
        <v>0.58333333333333337</v>
      </c>
      <c r="D567">
        <v>60.29</v>
      </c>
      <c r="E567">
        <v>0.22</v>
      </c>
      <c r="F567">
        <v>2.4500000000000002</v>
      </c>
      <c r="G567">
        <v>7.71</v>
      </c>
      <c r="H567">
        <v>10.16</v>
      </c>
      <c r="I567">
        <v>16.53</v>
      </c>
      <c r="J567">
        <v>33.75</v>
      </c>
      <c r="K567">
        <v>51.35</v>
      </c>
      <c r="L567">
        <v>0.28000000000000003</v>
      </c>
      <c r="M567">
        <v>591.25</v>
      </c>
      <c r="N567">
        <v>20.84</v>
      </c>
      <c r="O567">
        <v>13.61</v>
      </c>
      <c r="P567">
        <v>0.95</v>
      </c>
    </row>
    <row r="568" spans="1:16" x14ac:dyDescent="0.35">
      <c r="A568" s="1">
        <v>40604</v>
      </c>
      <c r="B568" s="2">
        <v>0.625</v>
      </c>
      <c r="D568">
        <v>57.11</v>
      </c>
      <c r="E568">
        <v>0.2</v>
      </c>
      <c r="F568">
        <v>1.54</v>
      </c>
      <c r="G568">
        <v>6.5</v>
      </c>
      <c r="H568">
        <v>8.0399999999999991</v>
      </c>
      <c r="I568">
        <v>18.14</v>
      </c>
      <c r="J568">
        <v>34.08</v>
      </c>
      <c r="K568">
        <v>60.84</v>
      </c>
      <c r="L568">
        <v>0.24</v>
      </c>
      <c r="M568">
        <v>559.53</v>
      </c>
      <c r="N568">
        <v>21.6</v>
      </c>
      <c r="O568">
        <v>51.57</v>
      </c>
      <c r="P568">
        <v>0.77</v>
      </c>
    </row>
    <row r="569" spans="1:16" x14ac:dyDescent="0.35">
      <c r="A569" s="1">
        <v>40604</v>
      </c>
      <c r="B569" s="2">
        <v>0.66666666666666663</v>
      </c>
      <c r="D569">
        <v>57.91</v>
      </c>
      <c r="E569">
        <v>0.22</v>
      </c>
      <c r="F569">
        <v>0.01</v>
      </c>
      <c r="G569">
        <v>6.93</v>
      </c>
      <c r="H569">
        <v>6.94</v>
      </c>
      <c r="I569">
        <v>17.170000000000002</v>
      </c>
      <c r="J569">
        <v>31.53</v>
      </c>
      <c r="K569">
        <v>38.86</v>
      </c>
      <c r="L569">
        <v>0.26</v>
      </c>
      <c r="M569">
        <v>567.37</v>
      </c>
      <c r="N569">
        <v>21.44</v>
      </c>
      <c r="O569">
        <v>82.53</v>
      </c>
      <c r="P569">
        <v>1.33</v>
      </c>
    </row>
    <row r="570" spans="1:16" x14ac:dyDescent="0.35">
      <c r="A570" s="1">
        <v>40604</v>
      </c>
      <c r="B570" s="2">
        <v>0.70833333333333337</v>
      </c>
      <c r="D570">
        <v>59.3</v>
      </c>
      <c r="E570">
        <v>0.26</v>
      </c>
      <c r="F570">
        <v>4.53</v>
      </c>
      <c r="G570">
        <v>11.14</v>
      </c>
      <c r="H570">
        <v>15.67</v>
      </c>
      <c r="I570">
        <v>13</v>
      </c>
      <c r="J570">
        <v>36.630000000000003</v>
      </c>
      <c r="K570">
        <v>50.12</v>
      </c>
      <c r="L570">
        <v>0.27</v>
      </c>
      <c r="M570">
        <v>581.13</v>
      </c>
      <c r="N570">
        <v>21.33</v>
      </c>
      <c r="O570">
        <v>56.82</v>
      </c>
      <c r="P570">
        <v>1.1000000000000001</v>
      </c>
    </row>
    <row r="571" spans="1:16" x14ac:dyDescent="0.35">
      <c r="A571" s="1">
        <v>40604</v>
      </c>
      <c r="B571" s="2">
        <v>0.75</v>
      </c>
      <c r="D571">
        <v>64.98</v>
      </c>
      <c r="E571">
        <v>0.25</v>
      </c>
      <c r="F571">
        <v>1.95</v>
      </c>
      <c r="G571">
        <v>8.09</v>
      </c>
      <c r="H571">
        <v>10.039999999999999</v>
      </c>
      <c r="I571">
        <v>14.33</v>
      </c>
      <c r="J571">
        <v>37.950000000000003</v>
      </c>
      <c r="K571">
        <v>44.44</v>
      </c>
      <c r="L571">
        <v>0.14000000000000001</v>
      </c>
      <c r="M571">
        <v>637.58000000000004</v>
      </c>
      <c r="N571">
        <v>20.65</v>
      </c>
      <c r="O571">
        <v>63</v>
      </c>
      <c r="P571">
        <v>1.61</v>
      </c>
    </row>
    <row r="572" spans="1:16" x14ac:dyDescent="0.35">
      <c r="A572" s="1">
        <v>40604</v>
      </c>
      <c r="B572" s="2">
        <v>0.79166666666666663</v>
      </c>
      <c r="D572">
        <v>72.83</v>
      </c>
      <c r="E572">
        <v>0.24</v>
      </c>
      <c r="F572">
        <v>1.7</v>
      </c>
      <c r="G572">
        <v>9.07</v>
      </c>
      <c r="H572">
        <v>10.77</v>
      </c>
      <c r="I572">
        <v>12.38</v>
      </c>
      <c r="J572">
        <v>40.590000000000003</v>
      </c>
      <c r="K572">
        <v>55.25</v>
      </c>
      <c r="L572">
        <v>0.22</v>
      </c>
      <c r="M572">
        <v>716.44</v>
      </c>
      <c r="N572">
        <v>19.95</v>
      </c>
      <c r="O572">
        <v>61.16</v>
      </c>
      <c r="P572">
        <v>0.84</v>
      </c>
    </row>
    <row r="573" spans="1:16" x14ac:dyDescent="0.35">
      <c r="A573" s="1">
        <v>40604</v>
      </c>
      <c r="B573" s="2">
        <v>0.83333333333333337</v>
      </c>
      <c r="D573">
        <v>77.540000000000006</v>
      </c>
      <c r="E573">
        <v>0.21</v>
      </c>
      <c r="F573">
        <v>-1.1200000000000001</v>
      </c>
      <c r="G573">
        <v>6.09</v>
      </c>
      <c r="H573">
        <v>4.97</v>
      </c>
      <c r="I573">
        <v>14.52</v>
      </c>
      <c r="J573">
        <v>20.97</v>
      </c>
      <c r="K573">
        <v>38.07</v>
      </c>
      <c r="L573">
        <v>0.12</v>
      </c>
      <c r="M573">
        <v>763.18</v>
      </c>
      <c r="N573">
        <v>19.54</v>
      </c>
      <c r="O573">
        <v>359.35</v>
      </c>
      <c r="P573">
        <v>1.01</v>
      </c>
    </row>
    <row r="574" spans="1:16" x14ac:dyDescent="0.35">
      <c r="A574" s="1">
        <v>40604</v>
      </c>
      <c r="B574" s="2">
        <v>0.875</v>
      </c>
      <c r="D574">
        <v>79.81</v>
      </c>
      <c r="E574">
        <v>0.2</v>
      </c>
      <c r="F574">
        <v>-1.5</v>
      </c>
      <c r="G574">
        <v>5.84</v>
      </c>
      <c r="H574">
        <v>4.34</v>
      </c>
      <c r="I574">
        <v>14.75</v>
      </c>
      <c r="J574">
        <v>18.91</v>
      </c>
      <c r="K574">
        <v>35.909999999999997</v>
      </c>
      <c r="L574">
        <v>0.12</v>
      </c>
      <c r="M574">
        <v>785.84</v>
      </c>
      <c r="N574">
        <v>19.48</v>
      </c>
      <c r="O574">
        <v>338.77</v>
      </c>
      <c r="P574">
        <v>0.86</v>
      </c>
    </row>
    <row r="575" spans="1:16" x14ac:dyDescent="0.35">
      <c r="A575" s="1">
        <v>40604</v>
      </c>
      <c r="B575" s="2">
        <v>0.91666666666666663</v>
      </c>
      <c r="D575">
        <v>81.8</v>
      </c>
      <c r="E575">
        <v>0.2</v>
      </c>
      <c r="F575">
        <v>-1.91</v>
      </c>
      <c r="G575">
        <v>6.97</v>
      </c>
      <c r="H575">
        <v>5.0599999999999996</v>
      </c>
      <c r="I575">
        <v>12.58</v>
      </c>
      <c r="J575">
        <v>16.27</v>
      </c>
      <c r="K575">
        <v>35.08</v>
      </c>
      <c r="L575">
        <v>7.0000000000000007E-2</v>
      </c>
      <c r="M575">
        <v>805.68</v>
      </c>
      <c r="N575">
        <v>19.37</v>
      </c>
      <c r="O575">
        <v>284.47000000000003</v>
      </c>
      <c r="P575">
        <v>0.47</v>
      </c>
    </row>
    <row r="576" spans="1:16" x14ac:dyDescent="0.35">
      <c r="A576" s="1">
        <v>40604</v>
      </c>
      <c r="B576" s="2">
        <v>0.95833333333333337</v>
      </c>
      <c r="D576">
        <v>82.29</v>
      </c>
      <c r="E576">
        <v>0.24</v>
      </c>
      <c r="F576">
        <v>-1.57</v>
      </c>
      <c r="G576">
        <v>8.27</v>
      </c>
      <c r="H576">
        <v>6.7</v>
      </c>
      <c r="I576">
        <v>10.16</v>
      </c>
      <c r="J576">
        <v>13.03</v>
      </c>
      <c r="K576">
        <v>26.32</v>
      </c>
      <c r="L576">
        <v>0.18</v>
      </c>
      <c r="M576">
        <v>810.69</v>
      </c>
      <c r="N576">
        <v>19.22</v>
      </c>
      <c r="O576">
        <v>313.5</v>
      </c>
      <c r="P576">
        <v>0.73</v>
      </c>
    </row>
    <row r="577" spans="1:16" x14ac:dyDescent="0.35">
      <c r="A577" s="1">
        <v>40604</v>
      </c>
      <c r="B577" s="18">
        <v>0</v>
      </c>
      <c r="D577">
        <v>84.87</v>
      </c>
      <c r="E577">
        <v>0.22</v>
      </c>
      <c r="F577">
        <v>-1.52</v>
      </c>
      <c r="G577">
        <v>9.42</v>
      </c>
      <c r="H577">
        <v>7.9</v>
      </c>
      <c r="I577">
        <v>7.67</v>
      </c>
      <c r="J577">
        <v>10.85</v>
      </c>
      <c r="K577">
        <v>51.17</v>
      </c>
      <c r="L577">
        <v>0.37</v>
      </c>
      <c r="M577">
        <v>836.1</v>
      </c>
      <c r="N577">
        <v>18.649999999999999</v>
      </c>
      <c r="O577">
        <v>295.77</v>
      </c>
      <c r="P577">
        <v>0.37</v>
      </c>
    </row>
    <row r="578" spans="1:16" x14ac:dyDescent="0.35">
      <c r="A578" s="1">
        <v>40605</v>
      </c>
      <c r="B578" s="2">
        <v>4.1666666666666664E-2</v>
      </c>
      <c r="D578">
        <v>88.55</v>
      </c>
      <c r="E578">
        <v>0.22</v>
      </c>
      <c r="F578">
        <v>-1.26</v>
      </c>
      <c r="G578">
        <v>11.22</v>
      </c>
      <c r="H578">
        <v>9.9600000000000009</v>
      </c>
      <c r="I578">
        <v>4.3099999999999996</v>
      </c>
      <c r="J578">
        <v>10.93</v>
      </c>
      <c r="K578">
        <v>41.96</v>
      </c>
      <c r="L578">
        <v>0.27</v>
      </c>
      <c r="M578">
        <v>872.93</v>
      </c>
      <c r="N578">
        <v>17.649999999999999</v>
      </c>
      <c r="O578">
        <v>314.63</v>
      </c>
      <c r="P578">
        <v>0.35</v>
      </c>
    </row>
    <row r="579" spans="1:16" x14ac:dyDescent="0.35">
      <c r="A579" s="1">
        <v>40605</v>
      </c>
      <c r="B579" s="2">
        <v>8.3333333333333329E-2</v>
      </c>
      <c r="D579">
        <v>90.65</v>
      </c>
      <c r="E579">
        <v>0.24</v>
      </c>
      <c r="F579">
        <v>0.28000000000000003</v>
      </c>
      <c r="G579">
        <v>13.07</v>
      </c>
      <c r="H579">
        <v>13.35</v>
      </c>
      <c r="I579">
        <v>1.18</v>
      </c>
      <c r="J579">
        <v>12.93</v>
      </c>
      <c r="K579">
        <v>38.99</v>
      </c>
      <c r="L579">
        <v>0.13</v>
      </c>
      <c r="M579">
        <v>893.69</v>
      </c>
      <c r="N579">
        <v>17.02</v>
      </c>
      <c r="O579">
        <v>306.98</v>
      </c>
      <c r="P579">
        <v>0.42</v>
      </c>
    </row>
    <row r="580" spans="1:16" x14ac:dyDescent="0.35">
      <c r="A580" s="1">
        <v>40605</v>
      </c>
      <c r="B580" s="2">
        <v>0.125</v>
      </c>
      <c r="D580">
        <v>92.2</v>
      </c>
      <c r="E580">
        <v>0.26</v>
      </c>
      <c r="F580">
        <v>4.22</v>
      </c>
      <c r="G580">
        <v>12.7</v>
      </c>
      <c r="H580">
        <v>16.920000000000002</v>
      </c>
      <c r="I580">
        <v>0.2</v>
      </c>
      <c r="J580">
        <v>9.83</v>
      </c>
      <c r="K580">
        <v>35.229999999999997</v>
      </c>
      <c r="L580">
        <v>0.16</v>
      </c>
      <c r="M580">
        <v>909.31</v>
      </c>
      <c r="N580">
        <v>16.440000000000001</v>
      </c>
      <c r="O580">
        <v>13.09</v>
      </c>
      <c r="P580">
        <v>0.34</v>
      </c>
    </row>
    <row r="581" spans="1:16" x14ac:dyDescent="0.35">
      <c r="A581" s="1">
        <v>40605</v>
      </c>
      <c r="B581" s="2">
        <v>0.16666666666666666</v>
      </c>
      <c r="D581">
        <v>92.73</v>
      </c>
      <c r="E581">
        <v>0.27</v>
      </c>
      <c r="F581">
        <v>12.23</v>
      </c>
      <c r="G581">
        <v>10.88</v>
      </c>
      <c r="H581">
        <v>23.11</v>
      </c>
      <c r="I581">
        <v>0.12</v>
      </c>
      <c r="J581">
        <v>22.76</v>
      </c>
      <c r="K581">
        <v>29.89</v>
      </c>
      <c r="L581">
        <v>0.23</v>
      </c>
      <c r="M581">
        <v>914.51</v>
      </c>
      <c r="N581">
        <v>16.07</v>
      </c>
      <c r="O581">
        <v>359.25</v>
      </c>
      <c r="P581">
        <v>0.6</v>
      </c>
    </row>
    <row r="582" spans="1:16" x14ac:dyDescent="0.35">
      <c r="A582" s="1">
        <v>40605</v>
      </c>
      <c r="B582" s="2">
        <v>0.20833333333333334</v>
      </c>
      <c r="D582">
        <v>93.93</v>
      </c>
      <c r="E582">
        <v>0.26</v>
      </c>
      <c r="F582">
        <v>29.92</v>
      </c>
      <c r="G582">
        <v>9.26</v>
      </c>
      <c r="H582">
        <v>39.18</v>
      </c>
      <c r="I582">
        <v>0.1</v>
      </c>
      <c r="J582">
        <v>11.18</v>
      </c>
      <c r="K582">
        <v>41.94</v>
      </c>
      <c r="L582">
        <v>0.45</v>
      </c>
      <c r="M582">
        <v>926.49</v>
      </c>
      <c r="N582">
        <v>15.46</v>
      </c>
      <c r="O582">
        <v>307.37</v>
      </c>
      <c r="P582">
        <v>0.36</v>
      </c>
    </row>
    <row r="583" spans="1:16" x14ac:dyDescent="0.35">
      <c r="A583" s="1">
        <v>40605</v>
      </c>
      <c r="B583" s="2">
        <v>0.25</v>
      </c>
      <c r="D583">
        <v>94.24</v>
      </c>
      <c r="E583">
        <v>0.38</v>
      </c>
      <c r="F583">
        <v>53.55</v>
      </c>
      <c r="G583">
        <v>13.84</v>
      </c>
      <c r="H583">
        <v>67.39</v>
      </c>
      <c r="I583">
        <v>0.15</v>
      </c>
      <c r="J583">
        <v>24.55</v>
      </c>
      <c r="K583">
        <v>19.71</v>
      </c>
      <c r="L583">
        <v>0.84</v>
      </c>
      <c r="M583">
        <v>929.48</v>
      </c>
      <c r="N583">
        <v>15.67</v>
      </c>
      <c r="O583">
        <v>317.73</v>
      </c>
      <c r="P583">
        <v>1.23</v>
      </c>
    </row>
    <row r="584" spans="1:16" x14ac:dyDescent="0.35">
      <c r="A584" s="1">
        <v>40605</v>
      </c>
      <c r="B584" s="2">
        <v>0.29166666666666669</v>
      </c>
      <c r="D584">
        <v>92.55</v>
      </c>
      <c r="E584">
        <v>0.51</v>
      </c>
      <c r="F584">
        <v>77.61</v>
      </c>
      <c r="G584">
        <v>15.88</v>
      </c>
      <c r="H584">
        <v>93.49</v>
      </c>
      <c r="I584">
        <v>0.38</v>
      </c>
      <c r="J584">
        <v>37.950000000000003</v>
      </c>
      <c r="K584">
        <v>26.08</v>
      </c>
      <c r="L584">
        <v>1.35</v>
      </c>
      <c r="M584">
        <v>913.01</v>
      </c>
      <c r="N584">
        <v>16.489999999999998</v>
      </c>
      <c r="O584">
        <v>303.64999999999998</v>
      </c>
      <c r="P584">
        <v>0.77</v>
      </c>
    </row>
    <row r="585" spans="1:16" x14ac:dyDescent="0.35">
      <c r="A585" s="1">
        <v>40605</v>
      </c>
      <c r="B585" s="2">
        <v>0.33333333333333331</v>
      </c>
      <c r="D585">
        <v>81.98</v>
      </c>
      <c r="E585">
        <v>0.41</v>
      </c>
      <c r="F585">
        <v>21.91</v>
      </c>
      <c r="G585">
        <v>11.23</v>
      </c>
      <c r="H585">
        <v>33.14</v>
      </c>
      <c r="I585">
        <v>2.98</v>
      </c>
      <c r="J585">
        <v>19.059999999999999</v>
      </c>
      <c r="K585">
        <v>29.29</v>
      </c>
      <c r="L585">
        <v>0.65</v>
      </c>
      <c r="M585">
        <v>807.82</v>
      </c>
      <c r="N585">
        <v>19.2</v>
      </c>
      <c r="O585">
        <v>312.95</v>
      </c>
      <c r="P585">
        <v>1.23</v>
      </c>
    </row>
    <row r="586" spans="1:16" x14ac:dyDescent="0.35">
      <c r="A586" s="1">
        <v>40605</v>
      </c>
      <c r="B586" s="2">
        <v>0.375</v>
      </c>
      <c r="D586">
        <v>73.33</v>
      </c>
      <c r="E586">
        <v>0.42</v>
      </c>
      <c r="F586">
        <v>20.72</v>
      </c>
      <c r="G586">
        <v>13.81</v>
      </c>
      <c r="H586">
        <v>34.53</v>
      </c>
      <c r="I586">
        <v>3.81</v>
      </c>
      <c r="J586">
        <v>23.01</v>
      </c>
      <c r="K586">
        <v>29.7</v>
      </c>
      <c r="L586">
        <v>0.98</v>
      </c>
      <c r="M586">
        <v>721.46</v>
      </c>
      <c r="N586">
        <v>20.69</v>
      </c>
      <c r="O586">
        <v>317.23</v>
      </c>
      <c r="P586">
        <v>1.28</v>
      </c>
    </row>
    <row r="587" spans="1:16" x14ac:dyDescent="0.35">
      <c r="A587" s="1">
        <v>40605</v>
      </c>
      <c r="B587" s="2">
        <v>0.41666666666666669</v>
      </c>
      <c r="D587">
        <v>60.09</v>
      </c>
      <c r="E587">
        <v>0.39</v>
      </c>
      <c r="F587">
        <v>14.48</v>
      </c>
      <c r="G587">
        <v>13.35</v>
      </c>
      <c r="H587">
        <v>27.83</v>
      </c>
      <c r="I587">
        <v>7.47</v>
      </c>
      <c r="J587">
        <v>15.72</v>
      </c>
      <c r="K587">
        <v>33.380000000000003</v>
      </c>
      <c r="L587">
        <v>1.08</v>
      </c>
      <c r="M587">
        <v>590.95000000000005</v>
      </c>
      <c r="N587">
        <v>22.95</v>
      </c>
      <c r="O587">
        <v>313.85000000000002</v>
      </c>
      <c r="P587">
        <v>1.07</v>
      </c>
    </row>
    <row r="588" spans="1:16" x14ac:dyDescent="0.35">
      <c r="A588" s="1">
        <v>40605</v>
      </c>
      <c r="B588" s="2">
        <v>0.45833333333333331</v>
      </c>
      <c r="D588">
        <v>44.47</v>
      </c>
      <c r="E588">
        <v>0.31</v>
      </c>
      <c r="F588">
        <v>2.6</v>
      </c>
      <c r="G588">
        <v>8.7799999999999994</v>
      </c>
      <c r="H588">
        <v>11.37</v>
      </c>
      <c r="I588">
        <v>21.42</v>
      </c>
      <c r="J588">
        <v>13.37</v>
      </c>
      <c r="K588">
        <v>29.19</v>
      </c>
      <c r="L588">
        <v>0.64</v>
      </c>
      <c r="M588">
        <v>433.98</v>
      </c>
      <c r="N588">
        <v>25.3</v>
      </c>
      <c r="O588">
        <v>316.14</v>
      </c>
      <c r="P588">
        <v>1.91</v>
      </c>
    </row>
    <row r="589" spans="1:16" x14ac:dyDescent="0.35">
      <c r="A589" s="1">
        <v>40605</v>
      </c>
      <c r="B589" s="2">
        <v>0.5</v>
      </c>
      <c r="D589">
        <v>34.67</v>
      </c>
      <c r="E589">
        <v>0.23</v>
      </c>
      <c r="F589">
        <v>1.69</v>
      </c>
      <c r="G589">
        <v>8.49</v>
      </c>
      <c r="H589">
        <v>10.18</v>
      </c>
      <c r="I589">
        <v>26.37</v>
      </c>
      <c r="J589">
        <v>13.79</v>
      </c>
      <c r="K589">
        <v>30.9</v>
      </c>
      <c r="L589">
        <v>0.34</v>
      </c>
      <c r="M589">
        <v>336.12</v>
      </c>
      <c r="N589">
        <v>27.17</v>
      </c>
      <c r="O589">
        <v>304.70999999999998</v>
      </c>
      <c r="P589">
        <v>1.95</v>
      </c>
    </row>
    <row r="590" spans="1:16" x14ac:dyDescent="0.35">
      <c r="A590" s="1">
        <v>40605</v>
      </c>
      <c r="B590" s="2">
        <v>0.54166666666666663</v>
      </c>
      <c r="D590">
        <v>23.22</v>
      </c>
      <c r="E590">
        <v>0.14000000000000001</v>
      </c>
      <c r="F590">
        <v>0.93</v>
      </c>
      <c r="G590">
        <v>6.24</v>
      </c>
      <c r="H590">
        <v>7.17</v>
      </c>
      <c r="I590">
        <v>29.78</v>
      </c>
      <c r="J590">
        <v>0.84</v>
      </c>
      <c r="K590">
        <v>47.13</v>
      </c>
      <c r="L590">
        <v>0</v>
      </c>
      <c r="M590">
        <v>221.77</v>
      </c>
      <c r="N590">
        <v>29.88</v>
      </c>
      <c r="O590">
        <v>285.23</v>
      </c>
      <c r="P590">
        <v>1.4</v>
      </c>
    </row>
    <row r="591" spans="1:16" x14ac:dyDescent="0.35">
      <c r="A591" s="1">
        <v>40605</v>
      </c>
      <c r="B591" s="2">
        <v>0.58333333333333337</v>
      </c>
      <c r="D591">
        <v>18.7</v>
      </c>
      <c r="E591">
        <v>0.08</v>
      </c>
      <c r="F591">
        <v>-0.16</v>
      </c>
      <c r="G591">
        <v>4.3</v>
      </c>
      <c r="H591">
        <v>4.1399999999999997</v>
      </c>
      <c r="I591">
        <v>29.29</v>
      </c>
      <c r="J591">
        <v>8.99</v>
      </c>
      <c r="K591">
        <v>35.119999999999997</v>
      </c>
      <c r="L591">
        <v>-0.24</v>
      </c>
      <c r="M591">
        <v>176.31</v>
      </c>
      <c r="N591">
        <v>30.72</v>
      </c>
      <c r="O591">
        <v>291.7</v>
      </c>
      <c r="P591">
        <v>1.69</v>
      </c>
    </row>
    <row r="592" spans="1:16" x14ac:dyDescent="0.35">
      <c r="A592" s="1">
        <v>40605</v>
      </c>
      <c r="B592" s="2">
        <v>0.625</v>
      </c>
      <c r="D592">
        <v>17.260000000000002</v>
      </c>
      <c r="E592">
        <v>7.0000000000000007E-2</v>
      </c>
      <c r="F592">
        <v>-0.19</v>
      </c>
      <c r="G592">
        <v>4.9800000000000004</v>
      </c>
      <c r="H592">
        <v>4.79</v>
      </c>
      <c r="I592">
        <v>28.35</v>
      </c>
      <c r="J592">
        <v>6.69</v>
      </c>
      <c r="K592">
        <v>39.25</v>
      </c>
      <c r="L592">
        <v>-0.1</v>
      </c>
      <c r="M592">
        <v>162.15</v>
      </c>
      <c r="N592">
        <v>31.45</v>
      </c>
      <c r="O592">
        <v>286.97000000000003</v>
      </c>
      <c r="P592">
        <v>1.41</v>
      </c>
    </row>
    <row r="593" spans="1:16" x14ac:dyDescent="0.35">
      <c r="A593" s="1">
        <v>40605</v>
      </c>
      <c r="B593" s="2">
        <v>0.66666666666666663</v>
      </c>
      <c r="D593">
        <v>29.44</v>
      </c>
      <c r="E593">
        <v>0.22</v>
      </c>
      <c r="F593">
        <v>0.48</v>
      </c>
      <c r="G593">
        <v>14.9</v>
      </c>
      <c r="H593">
        <v>15.38</v>
      </c>
      <c r="I593">
        <v>38.090000000000003</v>
      </c>
      <c r="J593">
        <v>50.39</v>
      </c>
      <c r="K593">
        <v>61.93</v>
      </c>
      <c r="L593">
        <v>1.22</v>
      </c>
      <c r="M593">
        <v>283.06</v>
      </c>
      <c r="N593">
        <v>29.49</v>
      </c>
      <c r="O593">
        <v>117.47</v>
      </c>
      <c r="P593">
        <v>1.67</v>
      </c>
    </row>
    <row r="594" spans="1:16" x14ac:dyDescent="0.35">
      <c r="A594" s="1">
        <v>40605</v>
      </c>
      <c r="B594" s="2">
        <v>0.70833333333333337</v>
      </c>
      <c r="D594">
        <v>39.89</v>
      </c>
      <c r="E594">
        <v>0.28999999999999998</v>
      </c>
      <c r="F594">
        <v>0.84</v>
      </c>
      <c r="G594">
        <v>19.89</v>
      </c>
      <c r="H594">
        <v>20.73</v>
      </c>
      <c r="I594">
        <v>45.71</v>
      </c>
      <c r="J594">
        <v>38.96</v>
      </c>
      <c r="K594">
        <v>19.649999999999999</v>
      </c>
      <c r="L594">
        <v>1.37</v>
      </c>
      <c r="M594">
        <v>387.72</v>
      </c>
      <c r="N594">
        <v>26.6</v>
      </c>
      <c r="O594">
        <v>113.29</v>
      </c>
      <c r="P594">
        <v>3.18</v>
      </c>
    </row>
    <row r="595" spans="1:16" x14ac:dyDescent="0.35">
      <c r="A595" s="1">
        <v>40605</v>
      </c>
      <c r="B595" s="2">
        <v>0.75</v>
      </c>
      <c r="D595">
        <v>46.3</v>
      </c>
      <c r="E595">
        <v>0.21</v>
      </c>
      <c r="F595">
        <v>-0.11</v>
      </c>
      <c r="G595">
        <v>15.16</v>
      </c>
      <c r="H595">
        <v>15.05</v>
      </c>
      <c r="I595">
        <v>37.64</v>
      </c>
      <c r="J595">
        <v>29.84</v>
      </c>
      <c r="K595">
        <v>17.61</v>
      </c>
      <c r="L595">
        <v>0.95</v>
      </c>
      <c r="M595">
        <v>451.25</v>
      </c>
      <c r="N595">
        <v>24.56</v>
      </c>
      <c r="O595">
        <v>115</v>
      </c>
      <c r="P595">
        <v>2.91</v>
      </c>
    </row>
    <row r="596" spans="1:16" x14ac:dyDescent="0.35">
      <c r="A596" s="1">
        <v>40605</v>
      </c>
      <c r="B596" s="2">
        <v>0.79166666666666663</v>
      </c>
      <c r="D596">
        <v>64.67</v>
      </c>
      <c r="E596">
        <v>0.27</v>
      </c>
      <c r="F596">
        <v>-1.1599999999999999</v>
      </c>
      <c r="G596">
        <v>10.24</v>
      </c>
      <c r="H596">
        <v>9.09</v>
      </c>
      <c r="I596">
        <v>26.9</v>
      </c>
      <c r="J596">
        <v>38.630000000000003</v>
      </c>
      <c r="K596">
        <v>18.47</v>
      </c>
      <c r="L596">
        <v>0.33</v>
      </c>
      <c r="M596">
        <v>634.95000000000005</v>
      </c>
      <c r="N596">
        <v>22.41</v>
      </c>
      <c r="O596">
        <v>126.67</v>
      </c>
      <c r="P596">
        <v>3.12</v>
      </c>
    </row>
    <row r="597" spans="1:16" x14ac:dyDescent="0.35">
      <c r="A597" s="1">
        <v>40605</v>
      </c>
      <c r="B597" s="2">
        <v>0.83333333333333337</v>
      </c>
      <c r="D597">
        <v>71.099999999999994</v>
      </c>
      <c r="E597">
        <v>0.27</v>
      </c>
      <c r="F597">
        <v>-1.58</v>
      </c>
      <c r="G597">
        <v>12.65</v>
      </c>
      <c r="H597">
        <v>11.07</v>
      </c>
      <c r="I597">
        <v>18.059999999999999</v>
      </c>
      <c r="J597">
        <v>29.13</v>
      </c>
      <c r="K597">
        <v>18.66</v>
      </c>
      <c r="L597">
        <v>2.27</v>
      </c>
      <c r="M597">
        <v>698.91</v>
      </c>
      <c r="N597">
        <v>21.39</v>
      </c>
      <c r="O597">
        <v>124.47</v>
      </c>
      <c r="P597">
        <v>2.86</v>
      </c>
    </row>
    <row r="598" spans="1:16" x14ac:dyDescent="0.35">
      <c r="A598" s="1">
        <v>40605</v>
      </c>
      <c r="B598" s="2">
        <v>0.875</v>
      </c>
      <c r="D598">
        <v>73.459999999999994</v>
      </c>
      <c r="E598">
        <v>0.27</v>
      </c>
      <c r="F598">
        <v>-1.73</v>
      </c>
      <c r="G598">
        <v>8.34</v>
      </c>
      <c r="H598">
        <v>6.61</v>
      </c>
      <c r="I598">
        <v>18.899999999999999</v>
      </c>
      <c r="J598">
        <v>27.31</v>
      </c>
      <c r="K598">
        <v>22.2</v>
      </c>
      <c r="L598">
        <v>0.69</v>
      </c>
      <c r="M598">
        <v>722.43</v>
      </c>
      <c r="N598">
        <v>21.25</v>
      </c>
      <c r="O598">
        <v>120.92</v>
      </c>
      <c r="P598">
        <v>2.4900000000000002</v>
      </c>
    </row>
    <row r="599" spans="1:16" x14ac:dyDescent="0.35">
      <c r="A599" s="1">
        <v>40605</v>
      </c>
      <c r="B599" s="2">
        <v>0.91666666666666663</v>
      </c>
      <c r="D599">
        <v>72.64</v>
      </c>
      <c r="E599">
        <v>0.28999999999999998</v>
      </c>
      <c r="F599">
        <v>-1.79</v>
      </c>
      <c r="G599">
        <v>6.08</v>
      </c>
      <c r="H599">
        <v>4.3</v>
      </c>
      <c r="I599">
        <v>21.79</v>
      </c>
      <c r="J599">
        <v>24.16</v>
      </c>
      <c r="K599">
        <v>20.49</v>
      </c>
      <c r="L599">
        <v>0.51</v>
      </c>
      <c r="M599">
        <v>714.15</v>
      </c>
      <c r="N599">
        <v>20.93</v>
      </c>
      <c r="O599">
        <v>123.3</v>
      </c>
      <c r="P599">
        <v>1.95</v>
      </c>
    </row>
    <row r="600" spans="1:16" x14ac:dyDescent="0.35">
      <c r="A600" s="1">
        <v>40605</v>
      </c>
      <c r="B600" s="2">
        <v>0.95833333333333337</v>
      </c>
      <c r="D600">
        <v>71.540000000000006</v>
      </c>
      <c r="E600">
        <v>0.35</v>
      </c>
      <c r="F600">
        <v>-1.67</v>
      </c>
      <c r="G600">
        <v>6.36</v>
      </c>
      <c r="H600">
        <v>4.6900000000000004</v>
      </c>
      <c r="I600">
        <v>23.53</v>
      </c>
      <c r="J600">
        <v>28.96</v>
      </c>
      <c r="K600">
        <v>24.24</v>
      </c>
      <c r="L600">
        <v>0.14000000000000001</v>
      </c>
      <c r="M600">
        <v>703.34</v>
      </c>
      <c r="N600">
        <v>20.94</v>
      </c>
      <c r="O600">
        <v>112.89</v>
      </c>
      <c r="P600">
        <v>1.26</v>
      </c>
    </row>
    <row r="601" spans="1:16" x14ac:dyDescent="0.35">
      <c r="A601" s="1">
        <v>40605</v>
      </c>
      <c r="B601" s="18">
        <v>0</v>
      </c>
      <c r="D601">
        <v>73.34</v>
      </c>
      <c r="E601">
        <v>0.36</v>
      </c>
      <c r="F601">
        <v>-1.48</v>
      </c>
      <c r="G601">
        <v>5.32</v>
      </c>
      <c r="H601">
        <v>3.84</v>
      </c>
      <c r="I601">
        <v>24.45</v>
      </c>
      <c r="J601">
        <v>27.34</v>
      </c>
      <c r="K601">
        <v>21.96</v>
      </c>
      <c r="L601">
        <v>0.03</v>
      </c>
      <c r="M601">
        <v>721.23</v>
      </c>
      <c r="N601">
        <v>20.65</v>
      </c>
      <c r="O601">
        <v>98.97</v>
      </c>
      <c r="P601">
        <v>1</v>
      </c>
    </row>
    <row r="602" spans="1:16" x14ac:dyDescent="0.35">
      <c r="A602" s="1">
        <v>40606</v>
      </c>
      <c r="B602" s="2">
        <v>4.1666666666666664E-2</v>
      </c>
      <c r="D602">
        <v>75.25</v>
      </c>
      <c r="E602">
        <v>0.35</v>
      </c>
      <c r="F602">
        <v>-1.76</v>
      </c>
      <c r="G602">
        <v>5.07</v>
      </c>
      <c r="H602">
        <v>3.31</v>
      </c>
      <c r="I602">
        <v>21.84</v>
      </c>
      <c r="J602">
        <v>25.71</v>
      </c>
      <c r="K602">
        <v>35.94</v>
      </c>
      <c r="L602">
        <v>0.05</v>
      </c>
      <c r="M602">
        <v>740.46</v>
      </c>
      <c r="N602">
        <v>20.34</v>
      </c>
      <c r="O602">
        <v>102.63</v>
      </c>
      <c r="P602">
        <v>0.65</v>
      </c>
    </row>
    <row r="603" spans="1:16" x14ac:dyDescent="0.35">
      <c r="A603" s="1">
        <v>40606</v>
      </c>
      <c r="B603" s="2">
        <v>8.3333333333333329E-2</v>
      </c>
      <c r="D603">
        <v>77.56</v>
      </c>
      <c r="E603">
        <v>0.32</v>
      </c>
      <c r="F603">
        <v>-1.91</v>
      </c>
      <c r="G603">
        <v>5.03</v>
      </c>
      <c r="H603">
        <v>3.12</v>
      </c>
      <c r="I603">
        <v>19.239999999999998</v>
      </c>
      <c r="J603">
        <v>23.91</v>
      </c>
      <c r="K603">
        <v>25.53</v>
      </c>
      <c r="L603">
        <v>0.21</v>
      </c>
      <c r="M603">
        <v>763.49</v>
      </c>
      <c r="N603">
        <v>19.88</v>
      </c>
      <c r="O603">
        <v>123.94</v>
      </c>
      <c r="P603">
        <v>0.55000000000000004</v>
      </c>
    </row>
    <row r="604" spans="1:16" x14ac:dyDescent="0.35">
      <c r="A604" s="1">
        <v>40606</v>
      </c>
      <c r="B604" s="2">
        <v>0.125</v>
      </c>
      <c r="D604">
        <v>84.57</v>
      </c>
      <c r="E604">
        <v>0.32</v>
      </c>
      <c r="F604">
        <v>-1.86</v>
      </c>
      <c r="G604">
        <v>6.81</v>
      </c>
      <c r="H604">
        <v>4.95</v>
      </c>
      <c r="I604">
        <v>12.49</v>
      </c>
      <c r="J604">
        <v>25.54</v>
      </c>
      <c r="K604">
        <v>95.37</v>
      </c>
      <c r="L604">
        <v>0.16</v>
      </c>
      <c r="M604">
        <v>833.43</v>
      </c>
      <c r="N604">
        <v>18.66</v>
      </c>
      <c r="O604">
        <v>0.87</v>
      </c>
      <c r="P604">
        <v>0.13</v>
      </c>
    </row>
    <row r="605" spans="1:16" x14ac:dyDescent="0.35">
      <c r="A605" s="1">
        <v>40606</v>
      </c>
      <c r="B605" s="2">
        <v>0.16666666666666666</v>
      </c>
      <c r="D605">
        <v>86.54</v>
      </c>
      <c r="E605">
        <v>0.35</v>
      </c>
      <c r="F605">
        <v>7.26</v>
      </c>
      <c r="G605">
        <v>13.7</v>
      </c>
      <c r="H605">
        <v>20.96</v>
      </c>
      <c r="I605">
        <v>2.2400000000000002</v>
      </c>
      <c r="J605">
        <v>21.4</v>
      </c>
      <c r="K605">
        <v>30.51</v>
      </c>
      <c r="L605">
        <v>0.15</v>
      </c>
      <c r="M605">
        <v>853.13</v>
      </c>
      <c r="N605">
        <v>17.920000000000002</v>
      </c>
      <c r="O605">
        <v>355.77</v>
      </c>
      <c r="P605">
        <v>0.47</v>
      </c>
    </row>
    <row r="606" spans="1:16" x14ac:dyDescent="0.35">
      <c r="A606" s="1">
        <v>40606</v>
      </c>
      <c r="B606" s="2">
        <v>0.20833333333333334</v>
      </c>
      <c r="D606">
        <v>89.86</v>
      </c>
      <c r="E606">
        <v>0.36</v>
      </c>
      <c r="F606">
        <v>26.08</v>
      </c>
      <c r="G606">
        <v>13.51</v>
      </c>
      <c r="H606">
        <v>39.58</v>
      </c>
      <c r="I606">
        <v>0.18</v>
      </c>
      <c r="J606">
        <v>23.94</v>
      </c>
      <c r="K606">
        <v>19.920000000000002</v>
      </c>
      <c r="L606">
        <v>0.46</v>
      </c>
      <c r="M606">
        <v>886.21</v>
      </c>
      <c r="N606">
        <v>17.010000000000002</v>
      </c>
      <c r="O606">
        <v>10.47</v>
      </c>
      <c r="P606">
        <v>0.46</v>
      </c>
    </row>
    <row r="607" spans="1:16" x14ac:dyDescent="0.35">
      <c r="A607" s="1">
        <v>40606</v>
      </c>
      <c r="B607" s="2">
        <v>0.25</v>
      </c>
      <c r="D607">
        <v>90.35</v>
      </c>
      <c r="E607">
        <v>0.42</v>
      </c>
      <c r="F607">
        <v>66.66</v>
      </c>
      <c r="G607">
        <v>17</v>
      </c>
      <c r="H607">
        <v>83.66</v>
      </c>
      <c r="I607">
        <v>0.19</v>
      </c>
      <c r="J607">
        <v>29.11</v>
      </c>
      <c r="K607">
        <v>21.87</v>
      </c>
      <c r="L607">
        <v>0.98</v>
      </c>
      <c r="M607">
        <v>891.15</v>
      </c>
      <c r="N607">
        <v>16.79</v>
      </c>
      <c r="O607">
        <v>359.9</v>
      </c>
      <c r="P607">
        <v>0.51</v>
      </c>
    </row>
    <row r="608" spans="1:16" x14ac:dyDescent="0.35">
      <c r="A608" s="1">
        <v>40606</v>
      </c>
      <c r="B608" s="2">
        <v>0.29166666666666669</v>
      </c>
      <c r="D608">
        <v>88.59</v>
      </c>
      <c r="E608">
        <v>0.52</v>
      </c>
      <c r="F608">
        <v>112.83</v>
      </c>
      <c r="G608">
        <v>22.24</v>
      </c>
      <c r="H608">
        <v>135.07</v>
      </c>
      <c r="I608">
        <v>0.4</v>
      </c>
      <c r="J608">
        <v>52.82</v>
      </c>
      <c r="K608">
        <v>26.8</v>
      </c>
      <c r="L608">
        <v>1.9</v>
      </c>
      <c r="M608">
        <v>873.85</v>
      </c>
      <c r="N608">
        <v>17.28</v>
      </c>
      <c r="O608">
        <v>359.16</v>
      </c>
      <c r="P608">
        <v>0.53</v>
      </c>
    </row>
    <row r="609" spans="1:16" x14ac:dyDescent="0.35">
      <c r="A609" s="1">
        <v>40606</v>
      </c>
      <c r="B609" s="2">
        <v>0.33333333333333331</v>
      </c>
      <c r="D609">
        <v>75.650000000000006</v>
      </c>
      <c r="E609">
        <v>0.46</v>
      </c>
      <c r="F609">
        <v>59.46</v>
      </c>
      <c r="G609">
        <v>19.72</v>
      </c>
      <c r="H609">
        <v>79.180000000000007</v>
      </c>
      <c r="I609">
        <v>2.36</v>
      </c>
      <c r="J609">
        <v>43.5</v>
      </c>
      <c r="K609">
        <v>46.33</v>
      </c>
      <c r="L609">
        <v>1.3</v>
      </c>
      <c r="M609">
        <v>745.15</v>
      </c>
      <c r="N609">
        <v>20.62</v>
      </c>
      <c r="O609">
        <v>356.85</v>
      </c>
      <c r="P609">
        <v>0.59</v>
      </c>
    </row>
    <row r="610" spans="1:16" x14ac:dyDescent="0.35">
      <c r="A610" s="1">
        <v>40606</v>
      </c>
      <c r="B610" s="2">
        <v>0.375</v>
      </c>
      <c r="D610">
        <v>65.42</v>
      </c>
      <c r="E610">
        <v>0.31</v>
      </c>
      <c r="F610">
        <v>1.96</v>
      </c>
      <c r="G610">
        <v>7.6</v>
      </c>
      <c r="H610">
        <v>9.57</v>
      </c>
      <c r="I610">
        <v>18.03</v>
      </c>
      <c r="J610">
        <v>30.87</v>
      </c>
      <c r="K610">
        <v>42.85</v>
      </c>
      <c r="L610">
        <v>0.22</v>
      </c>
      <c r="M610">
        <v>642.98</v>
      </c>
      <c r="N610">
        <v>22.77</v>
      </c>
      <c r="O610">
        <v>346.59</v>
      </c>
      <c r="P610">
        <v>1.4</v>
      </c>
    </row>
    <row r="611" spans="1:16" x14ac:dyDescent="0.35">
      <c r="A611" s="1">
        <v>40606</v>
      </c>
      <c r="B611" s="2">
        <v>0.41666666666666669</v>
      </c>
      <c r="D611">
        <v>58.4</v>
      </c>
      <c r="E611">
        <v>0.32</v>
      </c>
      <c r="F611">
        <v>0.16</v>
      </c>
      <c r="G611">
        <v>5.28</v>
      </c>
      <c r="H611">
        <v>5.44</v>
      </c>
      <c r="I611">
        <v>25.53</v>
      </c>
      <c r="J611">
        <v>27.27</v>
      </c>
      <c r="K611">
        <v>43.67</v>
      </c>
      <c r="L611">
        <v>0.13</v>
      </c>
      <c r="M611">
        <v>573.44000000000005</v>
      </c>
      <c r="N611">
        <v>24.5</v>
      </c>
      <c r="O611">
        <v>346.87</v>
      </c>
      <c r="P611">
        <v>1.51</v>
      </c>
    </row>
    <row r="612" spans="1:16" x14ac:dyDescent="0.35">
      <c r="A612" s="1">
        <v>40606</v>
      </c>
      <c r="B612" s="2">
        <v>0.45833333333333331</v>
      </c>
      <c r="D612">
        <v>52.34</v>
      </c>
      <c r="E612">
        <v>0.43</v>
      </c>
      <c r="F612">
        <v>-0.59</v>
      </c>
      <c r="G612">
        <v>3.78</v>
      </c>
      <c r="H612">
        <v>3.19</v>
      </c>
      <c r="I612">
        <v>34.28</v>
      </c>
      <c r="J612">
        <v>25.84</v>
      </c>
      <c r="K612">
        <v>48.05</v>
      </c>
      <c r="L612">
        <v>0.64</v>
      </c>
      <c r="M612">
        <v>512.67999999999995</v>
      </c>
      <c r="N612">
        <v>25.66</v>
      </c>
      <c r="O612">
        <v>336.79</v>
      </c>
      <c r="P612">
        <v>1.71</v>
      </c>
    </row>
    <row r="613" spans="1:16" x14ac:dyDescent="0.35">
      <c r="A613" s="1">
        <v>40606</v>
      </c>
      <c r="B613" s="2">
        <v>0.5</v>
      </c>
      <c r="D613">
        <v>43.3</v>
      </c>
      <c r="E613">
        <v>0.38</v>
      </c>
      <c r="F613">
        <v>-0.68</v>
      </c>
      <c r="G613">
        <v>4.42</v>
      </c>
      <c r="H613">
        <v>3.74</v>
      </c>
      <c r="I613">
        <v>37.880000000000003</v>
      </c>
      <c r="J613">
        <v>18.05</v>
      </c>
      <c r="K613">
        <v>62.29</v>
      </c>
      <c r="L613">
        <v>1.79</v>
      </c>
      <c r="M613">
        <v>422.42</v>
      </c>
      <c r="N613">
        <v>27.43</v>
      </c>
      <c r="O613">
        <v>330.38</v>
      </c>
      <c r="P613">
        <v>1.1299999999999999</v>
      </c>
    </row>
    <row r="614" spans="1:16" x14ac:dyDescent="0.35">
      <c r="A614" s="1">
        <v>40606</v>
      </c>
      <c r="B614" s="2">
        <v>0.54166666666666663</v>
      </c>
      <c r="D614">
        <v>34.32</v>
      </c>
      <c r="E614">
        <v>0.3</v>
      </c>
      <c r="F614">
        <v>-0.83</v>
      </c>
      <c r="G614">
        <v>4.2</v>
      </c>
      <c r="H614">
        <v>3.37</v>
      </c>
      <c r="I614">
        <v>44.47</v>
      </c>
      <c r="J614">
        <v>16.18</v>
      </c>
      <c r="K614">
        <v>86.64</v>
      </c>
      <c r="L614">
        <v>1.24</v>
      </c>
      <c r="M614">
        <v>332.69</v>
      </c>
      <c r="N614">
        <v>28.81</v>
      </c>
      <c r="O614">
        <v>262.58999999999997</v>
      </c>
      <c r="P614">
        <v>0.46</v>
      </c>
    </row>
    <row r="615" spans="1:16" x14ac:dyDescent="0.35">
      <c r="A615" s="1">
        <v>40606</v>
      </c>
      <c r="B615" s="2">
        <v>0.58333333333333337</v>
      </c>
      <c r="D615">
        <v>28.49</v>
      </c>
      <c r="E615">
        <v>0.25</v>
      </c>
      <c r="F615">
        <v>-0.48</v>
      </c>
      <c r="G615">
        <v>5.63</v>
      </c>
      <c r="H615">
        <v>5.15</v>
      </c>
      <c r="I615">
        <v>51.84</v>
      </c>
      <c r="J615">
        <v>17.14</v>
      </c>
      <c r="K615">
        <v>81.17</v>
      </c>
      <c r="L615">
        <v>0.93</v>
      </c>
      <c r="M615">
        <v>274.51</v>
      </c>
      <c r="N615">
        <v>29.7</v>
      </c>
      <c r="O615">
        <v>152.77000000000001</v>
      </c>
      <c r="P615">
        <v>0.69</v>
      </c>
    </row>
    <row r="616" spans="1:16" x14ac:dyDescent="0.35">
      <c r="A616" s="1">
        <v>40606</v>
      </c>
      <c r="B616" s="2">
        <v>0.625</v>
      </c>
      <c r="D616">
        <v>33.81</v>
      </c>
      <c r="E616">
        <v>0.23</v>
      </c>
      <c r="F616">
        <v>-0.54</v>
      </c>
      <c r="G616">
        <v>6.51</v>
      </c>
      <c r="H616">
        <v>5.97</v>
      </c>
      <c r="I616">
        <v>49.92</v>
      </c>
      <c r="J616">
        <v>46.5</v>
      </c>
      <c r="K616">
        <v>50.81</v>
      </c>
      <c r="L616">
        <v>0.74</v>
      </c>
      <c r="M616">
        <v>326.89</v>
      </c>
      <c r="N616">
        <v>29.81</v>
      </c>
      <c r="O616">
        <v>139.9</v>
      </c>
      <c r="P616">
        <v>2.27</v>
      </c>
    </row>
    <row r="617" spans="1:16" x14ac:dyDescent="0.35">
      <c r="A617" s="1">
        <v>40606</v>
      </c>
      <c r="B617" s="2">
        <v>0.66666666666666663</v>
      </c>
      <c r="D617">
        <v>50.68</v>
      </c>
      <c r="E617">
        <v>0.28999999999999998</v>
      </c>
      <c r="F617">
        <v>-0.19</v>
      </c>
      <c r="G617">
        <v>7.75</v>
      </c>
      <c r="H617">
        <v>7.56</v>
      </c>
      <c r="I617">
        <v>41.8</v>
      </c>
      <c r="J617">
        <v>46.64</v>
      </c>
      <c r="K617">
        <v>19.940000000000001</v>
      </c>
      <c r="L617">
        <v>0.49</v>
      </c>
      <c r="M617">
        <v>495.45</v>
      </c>
      <c r="N617">
        <v>27.67</v>
      </c>
      <c r="O617">
        <v>121.56</v>
      </c>
      <c r="P617">
        <v>4.05</v>
      </c>
    </row>
    <row r="618" spans="1:16" x14ac:dyDescent="0.35">
      <c r="A618" s="1">
        <v>40606</v>
      </c>
      <c r="B618" s="2">
        <v>0.70833333333333337</v>
      </c>
      <c r="D618">
        <v>57.58</v>
      </c>
      <c r="E618">
        <v>0.3</v>
      </c>
      <c r="F618">
        <v>0.09</v>
      </c>
      <c r="G618">
        <v>8.32</v>
      </c>
      <c r="H618">
        <v>8.41</v>
      </c>
      <c r="I618">
        <v>35</v>
      </c>
      <c r="J618">
        <v>38.97</v>
      </c>
      <c r="K618">
        <v>21.75</v>
      </c>
      <c r="L618">
        <v>0.92</v>
      </c>
      <c r="M618">
        <v>564.16999999999996</v>
      </c>
      <c r="N618">
        <v>25.77</v>
      </c>
      <c r="O618">
        <v>113.83</v>
      </c>
      <c r="P618">
        <v>3.68</v>
      </c>
    </row>
    <row r="619" spans="1:16" x14ac:dyDescent="0.35">
      <c r="A619" s="1">
        <v>40606</v>
      </c>
      <c r="B619" s="2">
        <v>0.75</v>
      </c>
      <c r="D619">
        <v>67.760000000000005</v>
      </c>
      <c r="E619">
        <v>0.27</v>
      </c>
      <c r="F619">
        <v>-0.01</v>
      </c>
      <c r="G619">
        <v>8.85</v>
      </c>
      <c r="H619">
        <v>8.84</v>
      </c>
      <c r="I619">
        <v>21.77</v>
      </c>
      <c r="J619">
        <v>43.79</v>
      </c>
      <c r="K619">
        <v>18.329999999999998</v>
      </c>
      <c r="L619">
        <v>2.81</v>
      </c>
      <c r="M619">
        <v>665.64</v>
      </c>
      <c r="N619">
        <v>23.62</v>
      </c>
      <c r="O619">
        <v>134.79</v>
      </c>
      <c r="P619">
        <v>4.34</v>
      </c>
    </row>
    <row r="620" spans="1:16" x14ac:dyDescent="0.35">
      <c r="A620" s="1">
        <v>40606</v>
      </c>
      <c r="B620" s="2">
        <v>0.79166666666666663</v>
      </c>
      <c r="D620">
        <v>63.51</v>
      </c>
      <c r="E620">
        <v>0.2</v>
      </c>
      <c r="F620">
        <v>-1.18</v>
      </c>
      <c r="G620">
        <v>7.2</v>
      </c>
      <c r="H620">
        <v>6.02</v>
      </c>
      <c r="I620">
        <v>26.03</v>
      </c>
      <c r="J620">
        <v>11.42</v>
      </c>
      <c r="K620">
        <v>26.78</v>
      </c>
      <c r="L620">
        <v>0.09</v>
      </c>
      <c r="M620">
        <v>623.96</v>
      </c>
      <c r="N620">
        <v>21.92</v>
      </c>
      <c r="O620">
        <v>151.43</v>
      </c>
      <c r="P620">
        <v>3.03</v>
      </c>
    </row>
    <row r="621" spans="1:16" x14ac:dyDescent="0.35">
      <c r="A621" s="1">
        <v>40606</v>
      </c>
      <c r="B621" s="2">
        <v>0.83333333333333337</v>
      </c>
      <c r="D621">
        <v>62.4</v>
      </c>
      <c r="E621">
        <v>0.19</v>
      </c>
      <c r="F621">
        <v>-1.63</v>
      </c>
      <c r="G621">
        <v>6</v>
      </c>
      <c r="H621">
        <v>4.37</v>
      </c>
      <c r="I621">
        <v>27.02</v>
      </c>
      <c r="J621">
        <v>20.34</v>
      </c>
      <c r="K621">
        <v>27.62</v>
      </c>
      <c r="L621">
        <v>-0.09</v>
      </c>
      <c r="M621">
        <v>612.39</v>
      </c>
      <c r="N621">
        <v>21.21</v>
      </c>
      <c r="O621">
        <v>157.56</v>
      </c>
      <c r="P621">
        <v>2.76</v>
      </c>
    </row>
    <row r="622" spans="1:16" x14ac:dyDescent="0.35">
      <c r="A622" s="1">
        <v>40606</v>
      </c>
      <c r="B622" s="2">
        <v>0.875</v>
      </c>
      <c r="D622">
        <v>66.709999999999994</v>
      </c>
      <c r="E622">
        <v>0.27</v>
      </c>
      <c r="F622">
        <v>-1.48</v>
      </c>
      <c r="G622">
        <v>5.72</v>
      </c>
      <c r="H622">
        <v>4.24</v>
      </c>
      <c r="I622">
        <v>26.09</v>
      </c>
      <c r="J622">
        <v>29.29</v>
      </c>
      <c r="K622">
        <v>25.97</v>
      </c>
      <c r="L622">
        <v>-0.09</v>
      </c>
      <c r="M622">
        <v>655.03</v>
      </c>
      <c r="N622">
        <v>21.02</v>
      </c>
      <c r="O622">
        <v>152.6</v>
      </c>
      <c r="P622">
        <v>3.06</v>
      </c>
    </row>
    <row r="623" spans="1:16" x14ac:dyDescent="0.35">
      <c r="A623" s="1">
        <v>40606</v>
      </c>
      <c r="B623" s="2">
        <v>0.91666666666666663</v>
      </c>
      <c r="D623">
        <v>67.02</v>
      </c>
      <c r="E623">
        <v>0.28000000000000003</v>
      </c>
      <c r="F623">
        <v>-1.33</v>
      </c>
      <c r="G623">
        <v>5.21</v>
      </c>
      <c r="H623">
        <v>3.88</v>
      </c>
      <c r="I623">
        <v>24.97</v>
      </c>
      <c r="J623">
        <v>26.49</v>
      </c>
      <c r="K623">
        <v>26.67</v>
      </c>
      <c r="L623">
        <v>-0.15</v>
      </c>
      <c r="M623">
        <v>658.15</v>
      </c>
      <c r="N623">
        <v>20.67</v>
      </c>
      <c r="O623">
        <v>143.19999999999999</v>
      </c>
      <c r="P623">
        <v>2.85</v>
      </c>
    </row>
    <row r="624" spans="1:16" x14ac:dyDescent="0.35">
      <c r="A624" s="1">
        <v>40606</v>
      </c>
      <c r="B624" s="2">
        <v>0.95833333333333337</v>
      </c>
      <c r="D624">
        <v>65.69</v>
      </c>
      <c r="E624">
        <v>0.26</v>
      </c>
      <c r="F624">
        <v>-1.29</v>
      </c>
      <c r="G624">
        <v>5.2</v>
      </c>
      <c r="H624">
        <v>3.91</v>
      </c>
      <c r="I624">
        <v>23.43</v>
      </c>
      <c r="J624">
        <v>23.35</v>
      </c>
      <c r="K624">
        <v>21.82</v>
      </c>
      <c r="L624">
        <v>-0.09</v>
      </c>
      <c r="M624">
        <v>644.79999999999995</v>
      </c>
      <c r="N624">
        <v>20.350000000000001</v>
      </c>
      <c r="O624">
        <v>138.76</v>
      </c>
      <c r="P624">
        <v>3.21</v>
      </c>
    </row>
    <row r="625" spans="1:16" x14ac:dyDescent="0.35">
      <c r="A625" s="1">
        <v>40606</v>
      </c>
      <c r="B625" s="18">
        <v>0</v>
      </c>
      <c r="D625">
        <v>67.81</v>
      </c>
      <c r="E625">
        <v>0.23</v>
      </c>
      <c r="F625">
        <v>-1.46</v>
      </c>
      <c r="G625">
        <v>4.82</v>
      </c>
      <c r="H625">
        <v>3.37</v>
      </c>
      <c r="I625">
        <v>21.84</v>
      </c>
      <c r="J625">
        <v>22.57</v>
      </c>
      <c r="K625">
        <v>19.739999999999998</v>
      </c>
      <c r="L625">
        <v>0.36</v>
      </c>
      <c r="M625">
        <v>666.33</v>
      </c>
      <c r="N625">
        <v>19.670000000000002</v>
      </c>
      <c r="O625">
        <v>136.88999999999999</v>
      </c>
      <c r="P625">
        <v>3.19</v>
      </c>
    </row>
    <row r="626" spans="1:16" x14ac:dyDescent="0.35">
      <c r="A626" s="1">
        <v>40607</v>
      </c>
      <c r="B626" s="2">
        <v>4.1666666666666664E-2</v>
      </c>
      <c r="D626">
        <v>67</v>
      </c>
      <c r="E626">
        <v>0.21</v>
      </c>
      <c r="F626">
        <v>-1.81</v>
      </c>
      <c r="G626">
        <v>4.82</v>
      </c>
      <c r="H626">
        <v>3.01</v>
      </c>
      <c r="I626">
        <v>19.559999999999999</v>
      </c>
      <c r="J626">
        <v>20.98</v>
      </c>
      <c r="K626">
        <v>21.69</v>
      </c>
      <c r="L626">
        <v>0.5</v>
      </c>
      <c r="M626">
        <v>658.24</v>
      </c>
      <c r="N626">
        <v>19.559999999999999</v>
      </c>
      <c r="O626">
        <v>139.38999999999999</v>
      </c>
      <c r="P626">
        <v>2.98</v>
      </c>
    </row>
    <row r="627" spans="1:16" x14ac:dyDescent="0.35">
      <c r="A627" s="1">
        <v>40607</v>
      </c>
      <c r="B627" s="2">
        <v>8.3333333333333329E-2</v>
      </c>
      <c r="D627">
        <v>71.34</v>
      </c>
      <c r="E627">
        <v>0.2</v>
      </c>
      <c r="F627">
        <v>-1.58</v>
      </c>
      <c r="G627">
        <v>3.76</v>
      </c>
      <c r="H627">
        <v>2.19</v>
      </c>
      <c r="I627">
        <v>19.329999999999998</v>
      </c>
      <c r="J627">
        <v>20.399999999999999</v>
      </c>
      <c r="K627">
        <v>27.56</v>
      </c>
      <c r="L627">
        <v>0.05</v>
      </c>
      <c r="M627">
        <v>701.25</v>
      </c>
      <c r="N627">
        <v>18.89</v>
      </c>
      <c r="O627">
        <v>161.63</v>
      </c>
      <c r="P627">
        <v>2.17</v>
      </c>
    </row>
    <row r="628" spans="1:16" x14ac:dyDescent="0.35">
      <c r="A628" s="1">
        <v>40607</v>
      </c>
      <c r="B628" s="2">
        <v>0.125</v>
      </c>
      <c r="D628">
        <v>73.66</v>
      </c>
      <c r="E628">
        <v>0.22</v>
      </c>
      <c r="F628">
        <v>-1.69</v>
      </c>
      <c r="G628">
        <v>4.3099999999999996</v>
      </c>
      <c r="H628">
        <v>2.63</v>
      </c>
      <c r="I628">
        <v>17.27</v>
      </c>
      <c r="J628">
        <v>17.71</v>
      </c>
      <c r="K628">
        <v>30.73</v>
      </c>
      <c r="L628">
        <v>0.09</v>
      </c>
      <c r="M628">
        <v>724.6</v>
      </c>
      <c r="N628">
        <v>18.61</v>
      </c>
      <c r="O628">
        <v>189.95</v>
      </c>
      <c r="P628">
        <v>1.41</v>
      </c>
    </row>
    <row r="629" spans="1:16" x14ac:dyDescent="0.35">
      <c r="A629" s="1">
        <v>40607</v>
      </c>
      <c r="B629" s="2">
        <v>0.16666666666666666</v>
      </c>
      <c r="D629">
        <v>75.2</v>
      </c>
      <c r="E629">
        <v>0.25</v>
      </c>
      <c r="F629">
        <v>-1.78</v>
      </c>
      <c r="G629">
        <v>3.46</v>
      </c>
      <c r="H629">
        <v>1.68</v>
      </c>
      <c r="I629">
        <v>18.46</v>
      </c>
      <c r="J629">
        <v>18.87</v>
      </c>
      <c r="K629">
        <v>28</v>
      </c>
      <c r="L629">
        <v>0.06</v>
      </c>
      <c r="M629">
        <v>740.12</v>
      </c>
      <c r="N629">
        <v>18.170000000000002</v>
      </c>
      <c r="O629">
        <v>167.93</v>
      </c>
      <c r="P629">
        <v>2.19</v>
      </c>
    </row>
    <row r="630" spans="1:16" x14ac:dyDescent="0.35">
      <c r="A630" s="1">
        <v>40607</v>
      </c>
      <c r="B630" s="2">
        <v>0.20833333333333334</v>
      </c>
      <c r="D630">
        <v>74.89</v>
      </c>
      <c r="E630">
        <v>0.24</v>
      </c>
      <c r="F630">
        <v>-1.79</v>
      </c>
      <c r="G630">
        <v>3.41</v>
      </c>
      <c r="H630">
        <v>1.62</v>
      </c>
      <c r="I630">
        <v>18.79</v>
      </c>
      <c r="J630">
        <v>19.25</v>
      </c>
      <c r="K630">
        <v>27.2</v>
      </c>
      <c r="L630">
        <v>-0.02</v>
      </c>
      <c r="M630">
        <v>737</v>
      </c>
      <c r="N630">
        <v>17.84</v>
      </c>
      <c r="O630">
        <v>176.71</v>
      </c>
      <c r="P630">
        <v>1.98</v>
      </c>
    </row>
    <row r="631" spans="1:16" x14ac:dyDescent="0.35">
      <c r="A631" s="1">
        <v>40607</v>
      </c>
      <c r="B631" s="2">
        <v>0.25</v>
      </c>
      <c r="D631">
        <v>77.209999999999994</v>
      </c>
      <c r="E631">
        <v>0.22</v>
      </c>
      <c r="F631">
        <v>-1.49</v>
      </c>
      <c r="G631">
        <v>4.63</v>
      </c>
      <c r="H631">
        <v>3.14</v>
      </c>
      <c r="I631">
        <v>18.02</v>
      </c>
      <c r="J631">
        <v>17.809999999999999</v>
      </c>
      <c r="K631">
        <v>35.200000000000003</v>
      </c>
      <c r="L631">
        <v>0.01</v>
      </c>
      <c r="M631">
        <v>760.05</v>
      </c>
      <c r="N631">
        <v>17.29</v>
      </c>
      <c r="O631">
        <v>171.27</v>
      </c>
      <c r="P631">
        <v>1.92</v>
      </c>
    </row>
    <row r="632" spans="1:16" x14ac:dyDescent="0.35">
      <c r="A632" s="1">
        <v>40607</v>
      </c>
      <c r="B632" s="2">
        <v>0.29166666666666669</v>
      </c>
      <c r="D632">
        <v>73.42</v>
      </c>
      <c r="E632">
        <v>0.2</v>
      </c>
      <c r="F632">
        <v>-1.34</v>
      </c>
      <c r="G632">
        <v>6.92</v>
      </c>
      <c r="H632">
        <v>5.58</v>
      </c>
      <c r="I632">
        <v>16.64</v>
      </c>
      <c r="J632">
        <v>17.61</v>
      </c>
      <c r="K632">
        <v>32.369999999999997</v>
      </c>
      <c r="L632">
        <v>-0.09</v>
      </c>
      <c r="M632">
        <v>722.26</v>
      </c>
      <c r="N632">
        <v>17.420000000000002</v>
      </c>
      <c r="O632">
        <v>181.09</v>
      </c>
      <c r="P632">
        <v>1.76</v>
      </c>
    </row>
    <row r="633" spans="1:16" x14ac:dyDescent="0.35">
      <c r="A633" s="1">
        <v>40607</v>
      </c>
      <c r="B633" s="2">
        <v>0.33333333333333331</v>
      </c>
      <c r="D633">
        <v>74.12</v>
      </c>
      <c r="E633">
        <v>0.18</v>
      </c>
      <c r="F633">
        <v>-0.68</v>
      </c>
      <c r="G633">
        <v>5.74</v>
      </c>
      <c r="H633">
        <v>5.05</v>
      </c>
      <c r="I633">
        <v>17.579999999999998</v>
      </c>
      <c r="J633">
        <v>17.170000000000002</v>
      </c>
      <c r="K633">
        <v>30.07</v>
      </c>
      <c r="L633">
        <v>0</v>
      </c>
      <c r="M633">
        <v>729.48</v>
      </c>
      <c r="N633">
        <v>17.7</v>
      </c>
      <c r="O633">
        <v>189.93</v>
      </c>
      <c r="P633">
        <v>2.2000000000000002</v>
      </c>
    </row>
    <row r="634" spans="1:16" x14ac:dyDescent="0.35">
      <c r="A634" s="1">
        <v>40607</v>
      </c>
      <c r="B634" s="2">
        <v>0.375</v>
      </c>
      <c r="D634">
        <v>69.47</v>
      </c>
      <c r="E634">
        <v>0.16</v>
      </c>
      <c r="F634">
        <v>0.06</v>
      </c>
      <c r="G634">
        <v>5.32</v>
      </c>
      <c r="H634">
        <v>5.38</v>
      </c>
      <c r="I634">
        <v>17.61</v>
      </c>
      <c r="J634">
        <v>16.2</v>
      </c>
      <c r="K634">
        <v>32.909999999999997</v>
      </c>
      <c r="L634">
        <v>0.34</v>
      </c>
      <c r="M634">
        <v>683.2</v>
      </c>
      <c r="N634">
        <v>18.54</v>
      </c>
      <c r="O634">
        <v>189.1</v>
      </c>
      <c r="P634">
        <v>1.89</v>
      </c>
    </row>
    <row r="635" spans="1:16" x14ac:dyDescent="0.35">
      <c r="A635" s="1">
        <v>40607</v>
      </c>
      <c r="B635" s="2">
        <v>0.41666666666666669</v>
      </c>
      <c r="D635">
        <v>66.61</v>
      </c>
      <c r="E635">
        <v>0.16</v>
      </c>
      <c r="F635">
        <v>-0.01</v>
      </c>
      <c r="G635">
        <v>5.18</v>
      </c>
      <c r="H635">
        <v>5.17</v>
      </c>
      <c r="I635">
        <v>18.190000000000001</v>
      </c>
      <c r="J635">
        <v>21.36</v>
      </c>
      <c r="K635">
        <v>30.87</v>
      </c>
      <c r="L635">
        <v>0.3</v>
      </c>
      <c r="M635">
        <v>654.63</v>
      </c>
      <c r="N635">
        <v>18.97</v>
      </c>
      <c r="O635">
        <v>185.93</v>
      </c>
      <c r="P635">
        <v>2.0699999999999998</v>
      </c>
    </row>
    <row r="636" spans="1:16" x14ac:dyDescent="0.35">
      <c r="A636" s="1">
        <v>40607</v>
      </c>
      <c r="B636" s="2">
        <v>0.45833333333333331</v>
      </c>
      <c r="D636">
        <v>66.69</v>
      </c>
      <c r="E636">
        <v>0.15</v>
      </c>
      <c r="F636">
        <v>0.36</v>
      </c>
      <c r="G636">
        <v>5.63</v>
      </c>
      <c r="H636">
        <v>5.99</v>
      </c>
      <c r="I636">
        <v>18.420000000000002</v>
      </c>
      <c r="J636">
        <v>15.39</v>
      </c>
      <c r="K636">
        <v>38.049999999999997</v>
      </c>
      <c r="L636">
        <v>0.28000000000000003</v>
      </c>
      <c r="M636">
        <v>655.33000000000004</v>
      </c>
      <c r="N636">
        <v>19.22</v>
      </c>
      <c r="O636">
        <v>173.11</v>
      </c>
      <c r="P636">
        <v>2.02</v>
      </c>
    </row>
    <row r="637" spans="1:16" x14ac:dyDescent="0.35">
      <c r="A637" s="1">
        <v>40607</v>
      </c>
      <c r="B637" s="2">
        <v>0.5</v>
      </c>
      <c r="D637">
        <v>73.599999999999994</v>
      </c>
      <c r="E637">
        <v>0.14000000000000001</v>
      </c>
      <c r="F637">
        <v>0.6</v>
      </c>
      <c r="G637">
        <v>8.1999999999999993</v>
      </c>
      <c r="H637">
        <v>8.81</v>
      </c>
      <c r="I637">
        <v>16.84</v>
      </c>
      <c r="J637">
        <v>21.42</v>
      </c>
      <c r="K637">
        <v>47.47</v>
      </c>
      <c r="L637">
        <v>1.41</v>
      </c>
      <c r="M637">
        <v>723.83</v>
      </c>
      <c r="N637">
        <v>18.579999999999998</v>
      </c>
      <c r="O637">
        <v>169.42</v>
      </c>
      <c r="P637">
        <v>1.17</v>
      </c>
    </row>
    <row r="638" spans="1:16" x14ac:dyDescent="0.35">
      <c r="A638" s="1">
        <v>40607</v>
      </c>
      <c r="B638" s="2">
        <v>0.54166666666666663</v>
      </c>
      <c r="D638">
        <v>68.05</v>
      </c>
      <c r="E638">
        <v>0.13</v>
      </c>
      <c r="F638">
        <v>0.77</v>
      </c>
      <c r="G638">
        <v>7.18</v>
      </c>
      <c r="H638">
        <v>7.95</v>
      </c>
      <c r="I638">
        <v>16.920000000000002</v>
      </c>
      <c r="J638">
        <v>7.8</v>
      </c>
      <c r="K638">
        <v>39.200000000000003</v>
      </c>
      <c r="L638">
        <v>0.28999999999999998</v>
      </c>
      <c r="M638">
        <v>669.12</v>
      </c>
      <c r="N638">
        <v>19.32</v>
      </c>
      <c r="O638">
        <v>161.38</v>
      </c>
      <c r="P638">
        <v>1.75</v>
      </c>
    </row>
    <row r="639" spans="1:16" x14ac:dyDescent="0.35">
      <c r="A639" s="1">
        <v>40607</v>
      </c>
      <c r="B639" s="2">
        <v>0.58333333333333337</v>
      </c>
      <c r="D639">
        <v>54.37</v>
      </c>
      <c r="E639">
        <v>0.09</v>
      </c>
      <c r="F639">
        <v>0.54</v>
      </c>
      <c r="G639">
        <v>4.6900000000000004</v>
      </c>
      <c r="H639">
        <v>5.22</v>
      </c>
      <c r="I639">
        <v>20.66</v>
      </c>
      <c r="J639">
        <v>7.07</v>
      </c>
      <c r="K639">
        <v>25.81</v>
      </c>
      <c r="L639">
        <v>0.25</v>
      </c>
      <c r="M639">
        <v>532.72</v>
      </c>
      <c r="N639">
        <v>20.68</v>
      </c>
      <c r="O639">
        <v>145.32</v>
      </c>
      <c r="P639">
        <v>2.97</v>
      </c>
    </row>
    <row r="640" spans="1:16" x14ac:dyDescent="0.35">
      <c r="A640" s="1">
        <v>40607</v>
      </c>
      <c r="B640" s="2">
        <v>0.625</v>
      </c>
      <c r="D640">
        <v>56.38</v>
      </c>
      <c r="E640">
        <v>0.09</v>
      </c>
      <c r="F640">
        <v>-0.41</v>
      </c>
      <c r="G640">
        <v>5.31</v>
      </c>
      <c r="H640">
        <v>4.9000000000000004</v>
      </c>
      <c r="I640">
        <v>20.29</v>
      </c>
      <c r="J640">
        <v>16.22</v>
      </c>
      <c r="K640">
        <v>24.12</v>
      </c>
      <c r="L640">
        <v>1.1299999999999999</v>
      </c>
      <c r="M640">
        <v>551.62</v>
      </c>
      <c r="N640">
        <v>19.899999999999999</v>
      </c>
      <c r="O640">
        <v>143.31</v>
      </c>
      <c r="P640">
        <v>2.98</v>
      </c>
    </row>
    <row r="641" spans="1:16" x14ac:dyDescent="0.35">
      <c r="A641" s="1">
        <v>40607</v>
      </c>
      <c r="B641" s="2">
        <v>0.66666666666666663</v>
      </c>
      <c r="D641">
        <v>57.1</v>
      </c>
      <c r="E641">
        <v>0.09</v>
      </c>
      <c r="F641">
        <v>0.12</v>
      </c>
      <c r="G641">
        <v>6.11</v>
      </c>
      <c r="H641">
        <v>6.23</v>
      </c>
      <c r="I641">
        <v>18.64</v>
      </c>
      <c r="J641">
        <v>14.94</v>
      </c>
      <c r="K641">
        <v>26.24</v>
      </c>
      <c r="L641">
        <v>1.89</v>
      </c>
      <c r="M641">
        <v>559.41999999999996</v>
      </c>
      <c r="N641">
        <v>19.91</v>
      </c>
      <c r="O641">
        <v>144.1</v>
      </c>
      <c r="P641">
        <v>2.79</v>
      </c>
    </row>
    <row r="642" spans="1:16" x14ac:dyDescent="0.35">
      <c r="A642" s="1">
        <v>40607</v>
      </c>
      <c r="B642" s="2">
        <v>0.70833333333333337</v>
      </c>
      <c r="D642">
        <v>61.81</v>
      </c>
      <c r="E642">
        <v>0.09</v>
      </c>
      <c r="F642">
        <v>-0.71</v>
      </c>
      <c r="G642">
        <v>6.26</v>
      </c>
      <c r="H642">
        <v>5.55</v>
      </c>
      <c r="I642">
        <v>17.78</v>
      </c>
      <c r="J642">
        <v>16.61</v>
      </c>
      <c r="K642">
        <v>29.42</v>
      </c>
      <c r="L642">
        <v>1.83</v>
      </c>
      <c r="M642">
        <v>606.07000000000005</v>
      </c>
      <c r="N642">
        <v>18.98</v>
      </c>
      <c r="O642">
        <v>131.15</v>
      </c>
      <c r="P642">
        <v>2.4700000000000002</v>
      </c>
    </row>
    <row r="643" spans="1:16" x14ac:dyDescent="0.35">
      <c r="A643" s="1">
        <v>40607</v>
      </c>
      <c r="B643" s="2">
        <v>0.75</v>
      </c>
      <c r="D643">
        <v>61.88</v>
      </c>
      <c r="E643">
        <v>0.09</v>
      </c>
      <c r="F643">
        <v>-1.07</v>
      </c>
      <c r="G643">
        <v>6.2</v>
      </c>
      <c r="H643">
        <v>5.13</v>
      </c>
      <c r="I643">
        <v>17.05</v>
      </c>
      <c r="J643">
        <v>17.260000000000002</v>
      </c>
      <c r="K643">
        <v>32.28</v>
      </c>
      <c r="L643">
        <v>1.49</v>
      </c>
      <c r="M643">
        <v>606.99</v>
      </c>
      <c r="N643">
        <v>18.68</v>
      </c>
      <c r="O643">
        <v>116.66</v>
      </c>
      <c r="P643">
        <v>2.11</v>
      </c>
    </row>
    <row r="644" spans="1:16" x14ac:dyDescent="0.35">
      <c r="A644" s="1">
        <v>40607</v>
      </c>
      <c r="B644" s="2">
        <v>0.79166666666666663</v>
      </c>
      <c r="D644">
        <v>64.62</v>
      </c>
      <c r="E644">
        <v>0.11</v>
      </c>
      <c r="F644">
        <v>-1.43</v>
      </c>
      <c r="G644">
        <v>7.95</v>
      </c>
      <c r="H644">
        <v>6.53</v>
      </c>
      <c r="I644">
        <v>14.35</v>
      </c>
      <c r="J644">
        <v>16.04</v>
      </c>
      <c r="K644">
        <v>39.74</v>
      </c>
      <c r="L644">
        <v>0.51</v>
      </c>
      <c r="M644">
        <v>634.66</v>
      </c>
      <c r="N644">
        <v>18.37</v>
      </c>
      <c r="O644">
        <v>110.56</v>
      </c>
      <c r="P644">
        <v>1.57</v>
      </c>
    </row>
    <row r="645" spans="1:16" x14ac:dyDescent="0.35">
      <c r="A645" s="1">
        <v>40607</v>
      </c>
      <c r="B645" s="2">
        <v>0.83333333333333337</v>
      </c>
      <c r="D645">
        <v>67.88</v>
      </c>
      <c r="E645">
        <v>0.1</v>
      </c>
      <c r="F645">
        <v>-1.57</v>
      </c>
      <c r="G645">
        <v>5.5</v>
      </c>
      <c r="H645">
        <v>3.93</v>
      </c>
      <c r="I645">
        <v>16</v>
      </c>
      <c r="J645">
        <v>14.86</v>
      </c>
      <c r="K645">
        <v>68.39</v>
      </c>
      <c r="L645">
        <v>0.38</v>
      </c>
      <c r="M645">
        <v>666.7</v>
      </c>
      <c r="N645">
        <v>17.920000000000002</v>
      </c>
      <c r="O645">
        <v>111.15</v>
      </c>
      <c r="P645">
        <v>0.8</v>
      </c>
    </row>
    <row r="646" spans="1:16" x14ac:dyDescent="0.35">
      <c r="A646" s="1">
        <v>40607</v>
      </c>
      <c r="B646" s="2">
        <v>0.875</v>
      </c>
      <c r="D646">
        <v>67.23</v>
      </c>
      <c r="E646">
        <v>0.12</v>
      </c>
      <c r="F646">
        <v>-1.5</v>
      </c>
      <c r="G646">
        <v>8.7799999999999994</v>
      </c>
      <c r="H646">
        <v>7.28</v>
      </c>
      <c r="I646">
        <v>12.53</v>
      </c>
      <c r="J646">
        <v>14.88</v>
      </c>
      <c r="K646">
        <v>69.69</v>
      </c>
      <c r="L646">
        <v>1.1599999999999999</v>
      </c>
      <c r="M646">
        <v>660.34</v>
      </c>
      <c r="N646">
        <v>18.05</v>
      </c>
      <c r="O646">
        <v>111.55</v>
      </c>
      <c r="P646">
        <v>0.78</v>
      </c>
    </row>
    <row r="647" spans="1:16" x14ac:dyDescent="0.35">
      <c r="A647" s="1">
        <v>40607</v>
      </c>
      <c r="B647" s="2">
        <v>0.91666666666666663</v>
      </c>
      <c r="D647">
        <v>61.98</v>
      </c>
      <c r="E647">
        <v>0.08</v>
      </c>
      <c r="F647">
        <v>-1.44</v>
      </c>
      <c r="G647">
        <v>4.34</v>
      </c>
      <c r="H647">
        <v>2.9</v>
      </c>
      <c r="I647">
        <v>17.41</v>
      </c>
      <c r="J647">
        <v>12.76</v>
      </c>
      <c r="K647">
        <v>24.26</v>
      </c>
      <c r="L647">
        <v>0.06</v>
      </c>
      <c r="M647">
        <v>607.73</v>
      </c>
      <c r="N647">
        <v>18.32</v>
      </c>
      <c r="O647">
        <v>101.94</v>
      </c>
      <c r="P647">
        <v>1.41</v>
      </c>
    </row>
    <row r="648" spans="1:16" x14ac:dyDescent="0.35">
      <c r="A648" s="1">
        <v>40607</v>
      </c>
      <c r="B648" s="2">
        <v>0.95833333333333337</v>
      </c>
      <c r="D648">
        <v>62.54</v>
      </c>
      <c r="E648">
        <v>0.08</v>
      </c>
      <c r="F648">
        <v>-1.65</v>
      </c>
      <c r="G648">
        <v>5.97</v>
      </c>
      <c r="H648">
        <v>4.32</v>
      </c>
      <c r="I648">
        <v>15.19</v>
      </c>
      <c r="J648">
        <v>13.23</v>
      </c>
      <c r="K648">
        <v>43.55</v>
      </c>
      <c r="L648">
        <v>-0.22</v>
      </c>
      <c r="M648">
        <v>613.29999999999995</v>
      </c>
      <c r="N648">
        <v>18.14</v>
      </c>
      <c r="O648">
        <v>75.36</v>
      </c>
      <c r="P648">
        <v>0.71</v>
      </c>
    </row>
    <row r="649" spans="1:16" x14ac:dyDescent="0.35">
      <c r="A649" s="1">
        <v>40607</v>
      </c>
      <c r="B649" s="18">
        <v>0</v>
      </c>
      <c r="D649">
        <v>62.33</v>
      </c>
      <c r="E649">
        <v>7.0000000000000007E-2</v>
      </c>
      <c r="F649">
        <v>-1.82</v>
      </c>
      <c r="G649">
        <v>6.15</v>
      </c>
      <c r="H649">
        <v>4.32</v>
      </c>
      <c r="I649">
        <v>14.88</v>
      </c>
      <c r="J649">
        <v>10.36</v>
      </c>
      <c r="K649">
        <v>33.67</v>
      </c>
      <c r="L649">
        <v>-0.23</v>
      </c>
      <c r="M649">
        <v>611.46</v>
      </c>
      <c r="N649">
        <v>18.04</v>
      </c>
      <c r="O649">
        <v>90.29</v>
      </c>
      <c r="P649">
        <v>0.57999999999999996</v>
      </c>
    </row>
    <row r="650" spans="1:16" x14ac:dyDescent="0.35">
      <c r="A650" s="1">
        <v>40608</v>
      </c>
      <c r="B650" s="2">
        <v>4.1666666666666664E-2</v>
      </c>
      <c r="D650">
        <v>60.01</v>
      </c>
      <c r="E650">
        <v>0.06</v>
      </c>
      <c r="F650">
        <v>-1.34</v>
      </c>
      <c r="G650">
        <v>5.08</v>
      </c>
      <c r="H650">
        <v>3.73</v>
      </c>
      <c r="I650">
        <v>16.07</v>
      </c>
      <c r="J650">
        <v>10.61</v>
      </c>
      <c r="K650">
        <v>70.94</v>
      </c>
      <c r="L650">
        <v>0.12</v>
      </c>
      <c r="M650">
        <v>587.79999999999995</v>
      </c>
      <c r="N650">
        <v>18.02</v>
      </c>
      <c r="O650">
        <v>95.79</v>
      </c>
      <c r="P650">
        <v>0.31</v>
      </c>
    </row>
    <row r="651" spans="1:16" x14ac:dyDescent="0.35">
      <c r="A651" s="1">
        <v>40608</v>
      </c>
      <c r="B651" s="2">
        <v>8.3333333333333329E-2</v>
      </c>
      <c r="D651">
        <v>63.12</v>
      </c>
      <c r="E651">
        <v>0.06</v>
      </c>
      <c r="F651">
        <v>-1.31</v>
      </c>
      <c r="G651">
        <v>5.18</v>
      </c>
      <c r="H651">
        <v>3.87</v>
      </c>
      <c r="I651">
        <v>13.94</v>
      </c>
      <c r="J651">
        <v>7.88</v>
      </c>
      <c r="K651">
        <v>81.38</v>
      </c>
      <c r="L651">
        <v>0.14000000000000001</v>
      </c>
      <c r="M651">
        <v>619.23</v>
      </c>
      <c r="N651">
        <v>17.43</v>
      </c>
      <c r="O651">
        <v>134.66</v>
      </c>
      <c r="P651">
        <v>0.18</v>
      </c>
    </row>
    <row r="652" spans="1:16" x14ac:dyDescent="0.35">
      <c r="A652" s="1">
        <v>40608</v>
      </c>
      <c r="B652" s="2">
        <v>0.125</v>
      </c>
      <c r="D652">
        <v>59.51</v>
      </c>
      <c r="E652">
        <v>0.06</v>
      </c>
      <c r="F652">
        <v>-1.32</v>
      </c>
      <c r="G652">
        <v>6.01</v>
      </c>
      <c r="H652">
        <v>4.68</v>
      </c>
      <c r="I652">
        <v>13.11</v>
      </c>
      <c r="J652">
        <v>6.56</v>
      </c>
      <c r="K652">
        <v>61.45</v>
      </c>
      <c r="L652">
        <v>0.15</v>
      </c>
      <c r="M652">
        <v>583.27</v>
      </c>
      <c r="N652">
        <v>17.54</v>
      </c>
      <c r="O652">
        <v>92.91</v>
      </c>
      <c r="P652">
        <v>0.52</v>
      </c>
    </row>
    <row r="653" spans="1:16" x14ac:dyDescent="0.35">
      <c r="A653" s="1">
        <v>40608</v>
      </c>
      <c r="B653" s="2">
        <v>0.16666666666666666</v>
      </c>
      <c r="D653">
        <v>55.48</v>
      </c>
      <c r="E653">
        <v>7.0000000000000007E-2</v>
      </c>
      <c r="F653">
        <v>-1.36</v>
      </c>
      <c r="G653">
        <v>3.87</v>
      </c>
      <c r="H653">
        <v>2.5099999999999998</v>
      </c>
      <c r="I653">
        <v>19.670000000000002</v>
      </c>
      <c r="J653">
        <v>10.23</v>
      </c>
      <c r="K653">
        <v>24</v>
      </c>
      <c r="L653">
        <v>0.28000000000000003</v>
      </c>
      <c r="M653">
        <v>542.85</v>
      </c>
      <c r="N653">
        <v>18.149999999999999</v>
      </c>
      <c r="O653">
        <v>113.36</v>
      </c>
      <c r="P653">
        <v>0.87</v>
      </c>
    </row>
    <row r="654" spans="1:16" x14ac:dyDescent="0.35">
      <c r="A654" s="1">
        <v>40608</v>
      </c>
      <c r="B654" s="2">
        <v>0.20833333333333334</v>
      </c>
      <c r="D654">
        <v>61.41</v>
      </c>
      <c r="E654">
        <v>0.06</v>
      </c>
      <c r="F654">
        <v>-1.35</v>
      </c>
      <c r="G654">
        <v>4.2300000000000004</v>
      </c>
      <c r="H654">
        <v>2.88</v>
      </c>
      <c r="I654">
        <v>17.18</v>
      </c>
      <c r="J654">
        <v>10.39</v>
      </c>
      <c r="K654">
        <v>79.97</v>
      </c>
      <c r="L654">
        <v>0.14000000000000001</v>
      </c>
      <c r="M654">
        <v>601.58000000000004</v>
      </c>
      <c r="N654">
        <v>16.89</v>
      </c>
      <c r="O654">
        <v>89.99</v>
      </c>
      <c r="P654">
        <v>0.21</v>
      </c>
    </row>
    <row r="655" spans="1:16" x14ac:dyDescent="0.35">
      <c r="A655" s="1">
        <v>40608</v>
      </c>
      <c r="B655" s="2">
        <v>0.25</v>
      </c>
      <c r="D655">
        <v>77.23</v>
      </c>
      <c r="E655">
        <v>0.06</v>
      </c>
      <c r="F655">
        <v>2.73</v>
      </c>
      <c r="G655">
        <v>13.04</v>
      </c>
      <c r="H655">
        <v>15.77</v>
      </c>
      <c r="I655">
        <v>4.78</v>
      </c>
      <c r="J655">
        <v>14.44</v>
      </c>
      <c r="K655">
        <v>19.95</v>
      </c>
      <c r="L655">
        <v>0.14000000000000001</v>
      </c>
      <c r="M655">
        <v>759.22</v>
      </c>
      <c r="N655">
        <v>14.44</v>
      </c>
      <c r="O655">
        <v>2.84</v>
      </c>
      <c r="P655">
        <v>0.44</v>
      </c>
    </row>
    <row r="656" spans="1:16" x14ac:dyDescent="0.35">
      <c r="A656" s="1">
        <v>40608</v>
      </c>
      <c r="B656" s="2">
        <v>0.29166666666666669</v>
      </c>
      <c r="D656">
        <v>79.27</v>
      </c>
      <c r="E656">
        <v>0.06</v>
      </c>
      <c r="F656">
        <v>8.5500000000000007</v>
      </c>
      <c r="G656">
        <v>10.54</v>
      </c>
      <c r="H656">
        <v>19.079999999999998</v>
      </c>
      <c r="I656">
        <v>1.61</v>
      </c>
      <c r="J656">
        <v>9.36</v>
      </c>
      <c r="K656">
        <v>31.34</v>
      </c>
      <c r="L656">
        <v>0.19</v>
      </c>
      <c r="M656">
        <v>780.45</v>
      </c>
      <c r="N656">
        <v>14.13</v>
      </c>
      <c r="O656">
        <v>354.11</v>
      </c>
      <c r="P656">
        <v>0.49</v>
      </c>
    </row>
    <row r="657" spans="1:16" x14ac:dyDescent="0.35">
      <c r="A657" s="1">
        <v>40608</v>
      </c>
      <c r="B657" s="2">
        <v>0.33333333333333331</v>
      </c>
      <c r="D657">
        <v>53.88</v>
      </c>
      <c r="E657">
        <v>0.06</v>
      </c>
      <c r="F657">
        <v>9.23</v>
      </c>
      <c r="G657">
        <v>10.5</v>
      </c>
      <c r="H657">
        <v>19.73</v>
      </c>
      <c r="I657">
        <v>8.57</v>
      </c>
      <c r="J657">
        <v>6.29</v>
      </c>
      <c r="K657">
        <v>97.72</v>
      </c>
      <c r="L657">
        <v>0.52</v>
      </c>
      <c r="M657">
        <v>527.82000000000005</v>
      </c>
      <c r="N657">
        <v>19.07</v>
      </c>
      <c r="O657">
        <v>121.64</v>
      </c>
      <c r="P657">
        <v>0.59</v>
      </c>
    </row>
    <row r="658" spans="1:16" x14ac:dyDescent="0.35">
      <c r="A658" s="1">
        <v>40608</v>
      </c>
      <c r="B658" s="2">
        <v>0.375</v>
      </c>
      <c r="D658">
        <v>39.299999999999997</v>
      </c>
      <c r="E658">
        <v>0.04</v>
      </c>
      <c r="F658">
        <v>-0.67</v>
      </c>
      <c r="G658">
        <v>2.4</v>
      </c>
      <c r="H658">
        <v>1.73</v>
      </c>
      <c r="I658">
        <v>23.42</v>
      </c>
      <c r="J658">
        <v>7.19</v>
      </c>
      <c r="K658">
        <v>32.85</v>
      </c>
      <c r="L658">
        <v>0.52</v>
      </c>
      <c r="M658">
        <v>381.87</v>
      </c>
      <c r="N658">
        <v>21.18</v>
      </c>
      <c r="O658">
        <v>123.24</v>
      </c>
      <c r="P658">
        <v>1.74</v>
      </c>
    </row>
    <row r="659" spans="1:16" x14ac:dyDescent="0.35">
      <c r="A659" s="1">
        <v>40608</v>
      </c>
      <c r="B659" s="2">
        <v>0.41666666666666669</v>
      </c>
      <c r="D659">
        <v>37.57</v>
      </c>
      <c r="E659">
        <v>0.04</v>
      </c>
      <c r="F659">
        <v>-0.5</v>
      </c>
      <c r="G659">
        <v>2.69</v>
      </c>
      <c r="H659">
        <v>2.19</v>
      </c>
      <c r="I659">
        <v>25.37</v>
      </c>
      <c r="J659">
        <v>9.43</v>
      </c>
      <c r="K659">
        <v>62.77</v>
      </c>
      <c r="L659">
        <v>3.04</v>
      </c>
      <c r="M659">
        <v>364.36</v>
      </c>
      <c r="N659">
        <v>21.72</v>
      </c>
      <c r="O659">
        <v>110.29</v>
      </c>
      <c r="P659">
        <v>1.0900000000000001</v>
      </c>
    </row>
    <row r="660" spans="1:16" x14ac:dyDescent="0.35">
      <c r="A660" s="1">
        <v>40608</v>
      </c>
      <c r="B660" s="2">
        <v>0.45833333333333331</v>
      </c>
      <c r="D660">
        <v>43.59</v>
      </c>
      <c r="E660">
        <v>0.04</v>
      </c>
      <c r="F660">
        <v>-0.6</v>
      </c>
      <c r="G660">
        <v>3.63</v>
      </c>
      <c r="H660">
        <v>3.04</v>
      </c>
      <c r="I660">
        <v>24.21</v>
      </c>
      <c r="J660">
        <v>13.24</v>
      </c>
      <c r="K660">
        <v>24.52</v>
      </c>
      <c r="L660">
        <v>1.29</v>
      </c>
      <c r="M660">
        <v>424.8</v>
      </c>
      <c r="N660">
        <v>21.3</v>
      </c>
      <c r="O660">
        <v>112.19</v>
      </c>
      <c r="P660">
        <v>2.85</v>
      </c>
    </row>
    <row r="661" spans="1:16" x14ac:dyDescent="0.35">
      <c r="A661" s="1">
        <v>40608</v>
      </c>
      <c r="B661" s="2">
        <v>0.5</v>
      </c>
      <c r="D661">
        <v>44.91</v>
      </c>
      <c r="E661">
        <v>0.04</v>
      </c>
      <c r="F661">
        <v>-0.26</v>
      </c>
      <c r="G661">
        <v>4.4800000000000004</v>
      </c>
      <c r="H661">
        <v>4.2300000000000004</v>
      </c>
      <c r="I661">
        <v>22.36</v>
      </c>
      <c r="J661">
        <v>11.33</v>
      </c>
      <c r="K661">
        <v>26.76</v>
      </c>
      <c r="L661">
        <v>2.58</v>
      </c>
      <c r="M661">
        <v>437.65</v>
      </c>
      <c r="N661">
        <v>21.11</v>
      </c>
      <c r="O661">
        <v>129.99</v>
      </c>
      <c r="P661">
        <v>2.78</v>
      </c>
    </row>
    <row r="662" spans="1:16" x14ac:dyDescent="0.35">
      <c r="A662" s="1">
        <v>40608</v>
      </c>
      <c r="B662" s="2">
        <v>0.54166666666666663</v>
      </c>
      <c r="D662">
        <v>45.42</v>
      </c>
      <c r="E662">
        <v>0.05</v>
      </c>
      <c r="F662">
        <v>-0.17</v>
      </c>
      <c r="G662">
        <v>3.94</v>
      </c>
      <c r="H662">
        <v>3.77</v>
      </c>
      <c r="I662">
        <v>22.58</v>
      </c>
      <c r="J662">
        <v>12.72</v>
      </c>
      <c r="K662">
        <v>28.17</v>
      </c>
      <c r="L662">
        <v>1.54</v>
      </c>
      <c r="M662">
        <v>442.51</v>
      </c>
      <c r="N662">
        <v>21.38</v>
      </c>
      <c r="O662">
        <v>125.14</v>
      </c>
      <c r="P662">
        <v>2.75</v>
      </c>
    </row>
    <row r="663" spans="1:16" x14ac:dyDescent="0.35">
      <c r="A663" s="1">
        <v>40608</v>
      </c>
      <c r="B663" s="2">
        <v>0.58333333333333337</v>
      </c>
      <c r="D663">
        <v>47.29</v>
      </c>
      <c r="E663">
        <v>0.06</v>
      </c>
      <c r="F663">
        <v>-0.34</v>
      </c>
      <c r="G663">
        <v>4.16</v>
      </c>
      <c r="H663">
        <v>3.83</v>
      </c>
      <c r="I663">
        <v>22.05</v>
      </c>
      <c r="J663">
        <v>14.23</v>
      </c>
      <c r="K663">
        <v>25.86</v>
      </c>
      <c r="L663">
        <v>3.62</v>
      </c>
      <c r="M663">
        <v>461.28</v>
      </c>
      <c r="N663">
        <v>21.12</v>
      </c>
      <c r="O663">
        <v>119.22</v>
      </c>
      <c r="P663">
        <v>2.74</v>
      </c>
    </row>
    <row r="664" spans="1:16" x14ac:dyDescent="0.35">
      <c r="A664" s="1">
        <v>40608</v>
      </c>
      <c r="B664" s="2">
        <v>0.625</v>
      </c>
      <c r="D664">
        <v>46.44</v>
      </c>
      <c r="E664">
        <v>0.06</v>
      </c>
      <c r="F664">
        <v>-0.27</v>
      </c>
      <c r="G664">
        <v>4.2699999999999996</v>
      </c>
      <c r="H664">
        <v>4</v>
      </c>
      <c r="I664">
        <v>20.55</v>
      </c>
      <c r="J664">
        <v>11.78</v>
      </c>
      <c r="K664">
        <v>28.47</v>
      </c>
      <c r="L664">
        <v>0.8</v>
      </c>
      <c r="M664">
        <v>452.81</v>
      </c>
      <c r="N664">
        <v>21.29</v>
      </c>
      <c r="O664">
        <v>132.72</v>
      </c>
      <c r="P664">
        <v>2.52</v>
      </c>
    </row>
    <row r="665" spans="1:16" x14ac:dyDescent="0.35">
      <c r="A665" s="1">
        <v>40608</v>
      </c>
      <c r="B665" s="2">
        <v>0.66666666666666663</v>
      </c>
      <c r="D665">
        <v>46.09</v>
      </c>
      <c r="E665">
        <v>0.05</v>
      </c>
      <c r="F665">
        <v>-0.75</v>
      </c>
      <c r="G665">
        <v>3.29</v>
      </c>
      <c r="H665">
        <v>2.54</v>
      </c>
      <c r="I665">
        <v>21.23</v>
      </c>
      <c r="J665">
        <v>11.69</v>
      </c>
      <c r="K665">
        <v>27.15</v>
      </c>
      <c r="L665">
        <v>0.05</v>
      </c>
      <c r="M665">
        <v>449.34</v>
      </c>
      <c r="N665">
        <v>21.43</v>
      </c>
      <c r="O665">
        <v>112.34</v>
      </c>
      <c r="P665">
        <v>2.4900000000000002</v>
      </c>
    </row>
    <row r="666" spans="1:16" x14ac:dyDescent="0.35">
      <c r="A666" s="1">
        <v>40608</v>
      </c>
      <c r="B666" s="2">
        <v>0.70833333333333337</v>
      </c>
      <c r="D666">
        <v>45.65</v>
      </c>
      <c r="E666">
        <v>0.05</v>
      </c>
      <c r="F666">
        <v>-0.43</v>
      </c>
      <c r="G666">
        <v>3.42</v>
      </c>
      <c r="H666">
        <v>2.99</v>
      </c>
      <c r="I666">
        <v>21.22</v>
      </c>
      <c r="J666">
        <v>12.66</v>
      </c>
      <c r="K666">
        <v>23.99</v>
      </c>
      <c r="L666">
        <v>0.02</v>
      </c>
      <c r="M666">
        <v>444.81</v>
      </c>
      <c r="N666">
        <v>21.62</v>
      </c>
      <c r="O666">
        <v>114.2</v>
      </c>
      <c r="P666">
        <v>2.85</v>
      </c>
    </row>
    <row r="667" spans="1:16" x14ac:dyDescent="0.35">
      <c r="A667" s="1">
        <v>40608</v>
      </c>
      <c r="B667" s="2">
        <v>0.75</v>
      </c>
      <c r="D667">
        <v>50.51</v>
      </c>
      <c r="E667">
        <v>0.05</v>
      </c>
      <c r="F667">
        <v>-0.75</v>
      </c>
      <c r="G667">
        <v>3.73</v>
      </c>
      <c r="H667">
        <v>2.99</v>
      </c>
      <c r="I667">
        <v>19.170000000000002</v>
      </c>
      <c r="J667">
        <v>13.16</v>
      </c>
      <c r="K667">
        <v>21.83</v>
      </c>
      <c r="L667">
        <v>-0.03</v>
      </c>
      <c r="M667">
        <v>493.07</v>
      </c>
      <c r="N667">
        <v>20.36</v>
      </c>
      <c r="O667">
        <v>106.72</v>
      </c>
      <c r="P667">
        <v>2.73</v>
      </c>
    </row>
    <row r="668" spans="1:16" x14ac:dyDescent="0.35">
      <c r="A668" s="1">
        <v>40608</v>
      </c>
      <c r="B668" s="2">
        <v>0.79166666666666663</v>
      </c>
      <c r="D668">
        <v>55.01</v>
      </c>
      <c r="E668">
        <v>0.05</v>
      </c>
      <c r="F668">
        <v>-1.37</v>
      </c>
      <c r="G668">
        <v>4.41</v>
      </c>
      <c r="H668">
        <v>3.04</v>
      </c>
      <c r="I668">
        <v>17.190000000000001</v>
      </c>
      <c r="J668">
        <v>13.75</v>
      </c>
      <c r="K668">
        <v>24.09</v>
      </c>
      <c r="L668">
        <v>-0.09</v>
      </c>
      <c r="M668">
        <v>538.12</v>
      </c>
      <c r="N668">
        <v>19.64</v>
      </c>
      <c r="O668">
        <v>108.5</v>
      </c>
      <c r="P668">
        <v>1.84</v>
      </c>
    </row>
    <row r="669" spans="1:16" x14ac:dyDescent="0.35">
      <c r="A669" s="1">
        <v>40608</v>
      </c>
      <c r="B669" s="2">
        <v>0.83333333333333337</v>
      </c>
      <c r="D669">
        <v>56.85</v>
      </c>
      <c r="E669">
        <v>0.06</v>
      </c>
      <c r="F669">
        <v>-1.51</v>
      </c>
      <c r="G669">
        <v>5.66</v>
      </c>
      <c r="H669">
        <v>4.1500000000000004</v>
      </c>
      <c r="I669">
        <v>15.11</v>
      </c>
      <c r="J669">
        <v>13.73</v>
      </c>
      <c r="K669">
        <v>19.399999999999999</v>
      </c>
      <c r="L669">
        <v>-0.18</v>
      </c>
      <c r="M669">
        <v>556.57000000000005</v>
      </c>
      <c r="N669">
        <v>19.12</v>
      </c>
      <c r="O669">
        <v>115.77</v>
      </c>
      <c r="P669">
        <v>1.46</v>
      </c>
    </row>
    <row r="670" spans="1:16" x14ac:dyDescent="0.35">
      <c r="A670" s="1">
        <v>40608</v>
      </c>
      <c r="B670" s="2">
        <v>0.875</v>
      </c>
      <c r="D670">
        <v>58.05</v>
      </c>
      <c r="E670">
        <v>7.0000000000000007E-2</v>
      </c>
      <c r="F670">
        <v>-1.62</v>
      </c>
      <c r="G670">
        <v>9.65</v>
      </c>
      <c r="H670">
        <v>8.0399999999999991</v>
      </c>
      <c r="I670">
        <v>10.93</v>
      </c>
      <c r="J670">
        <v>10.25</v>
      </c>
      <c r="K670">
        <v>17.27</v>
      </c>
      <c r="L670">
        <v>-0.11</v>
      </c>
      <c r="M670">
        <v>568.53</v>
      </c>
      <c r="N670">
        <v>18.68</v>
      </c>
      <c r="O670">
        <v>112.78</v>
      </c>
      <c r="P670">
        <v>0.96</v>
      </c>
    </row>
    <row r="671" spans="1:16" x14ac:dyDescent="0.35">
      <c r="A671" s="1">
        <v>40608</v>
      </c>
      <c r="B671" s="2">
        <v>0.91666666666666663</v>
      </c>
      <c r="D671">
        <v>65.989999999999995</v>
      </c>
      <c r="E671">
        <v>0.08</v>
      </c>
      <c r="F671">
        <v>-1.39</v>
      </c>
      <c r="G671">
        <v>12.91</v>
      </c>
      <c r="H671">
        <v>11.52</v>
      </c>
      <c r="I671">
        <v>4.87</v>
      </c>
      <c r="J671">
        <v>13.81</v>
      </c>
      <c r="K671">
        <v>62.03</v>
      </c>
      <c r="L671">
        <v>-0.16</v>
      </c>
      <c r="M671">
        <v>647.55999999999995</v>
      </c>
      <c r="N671">
        <v>17.54</v>
      </c>
      <c r="O671">
        <v>124.43</v>
      </c>
      <c r="P671">
        <v>0.16</v>
      </c>
    </row>
    <row r="672" spans="1:16" x14ac:dyDescent="0.35">
      <c r="A672" s="1">
        <v>40608</v>
      </c>
      <c r="B672" s="2">
        <v>0.95833333333333337</v>
      </c>
      <c r="D672">
        <v>67.239999999999995</v>
      </c>
      <c r="E672">
        <v>0.08</v>
      </c>
      <c r="F672">
        <v>4.2300000000000004</v>
      </c>
      <c r="G672">
        <v>14.9</v>
      </c>
      <c r="H672">
        <v>19.13</v>
      </c>
      <c r="I672">
        <v>1.69</v>
      </c>
      <c r="J672">
        <v>10.87</v>
      </c>
      <c r="K672">
        <v>80.760000000000005</v>
      </c>
      <c r="L672">
        <v>-0.09</v>
      </c>
      <c r="M672">
        <v>659.87</v>
      </c>
      <c r="N672">
        <v>17.41</v>
      </c>
      <c r="O672">
        <v>95.16</v>
      </c>
      <c r="P672">
        <v>0.11</v>
      </c>
    </row>
    <row r="673" spans="1:16" x14ac:dyDescent="0.35">
      <c r="A673" s="1">
        <v>40608</v>
      </c>
      <c r="B673" s="18">
        <v>0</v>
      </c>
      <c r="D673">
        <v>73.47</v>
      </c>
      <c r="E673">
        <v>0.17</v>
      </c>
      <c r="F673">
        <v>15.76</v>
      </c>
      <c r="G673">
        <v>14.53</v>
      </c>
      <c r="H673">
        <v>30.28</v>
      </c>
      <c r="I673">
        <v>0.22</v>
      </c>
      <c r="J673">
        <v>37.659999999999997</v>
      </c>
      <c r="K673">
        <v>35.54</v>
      </c>
      <c r="L673">
        <v>0.13</v>
      </c>
      <c r="M673">
        <v>722.2</v>
      </c>
      <c r="N673">
        <v>16.41</v>
      </c>
      <c r="O673">
        <v>349.01</v>
      </c>
      <c r="P673">
        <v>0.37</v>
      </c>
    </row>
    <row r="674" spans="1:16" x14ac:dyDescent="0.35">
      <c r="A674" s="1"/>
      <c r="B674" s="2"/>
    </row>
    <row r="675" spans="1:16" x14ac:dyDescent="0.35">
      <c r="A675" s="1"/>
      <c r="B675" s="2"/>
    </row>
    <row r="676" spans="1:16" x14ac:dyDescent="0.35">
      <c r="A676" s="1"/>
      <c r="B676" s="2"/>
    </row>
    <row r="677" spans="1:16" x14ac:dyDescent="0.35">
      <c r="A677" s="1"/>
      <c r="B677" s="2"/>
    </row>
    <row r="678" spans="1:16" x14ac:dyDescent="0.35">
      <c r="A678" s="1"/>
      <c r="B678" s="2"/>
    </row>
    <row r="679" spans="1:16" x14ac:dyDescent="0.35">
      <c r="A679" s="1"/>
      <c r="B679" s="2"/>
    </row>
    <row r="680" spans="1:16" x14ac:dyDescent="0.35">
      <c r="A680" s="1"/>
      <c r="B680" s="2"/>
    </row>
    <row r="681" spans="1:16" x14ac:dyDescent="0.35">
      <c r="A681" s="1"/>
      <c r="B681" s="2"/>
    </row>
    <row r="682" spans="1:16" x14ac:dyDescent="0.35">
      <c r="A682" s="1"/>
      <c r="B682" s="2"/>
    </row>
    <row r="683" spans="1:16" x14ac:dyDescent="0.35">
      <c r="A683" s="1"/>
      <c r="B683" s="2"/>
    </row>
    <row r="684" spans="1:16" x14ac:dyDescent="0.35">
      <c r="A684" s="1"/>
      <c r="B684" s="2"/>
    </row>
    <row r="685" spans="1:16" x14ac:dyDescent="0.35">
      <c r="A685" s="1"/>
      <c r="B685" s="2"/>
    </row>
    <row r="686" spans="1:16" x14ac:dyDescent="0.35">
      <c r="A686" s="1"/>
      <c r="B686" s="2"/>
    </row>
    <row r="687" spans="1:16" x14ac:dyDescent="0.35">
      <c r="A687" s="1"/>
      <c r="B687" s="2"/>
    </row>
    <row r="688" spans="1:16" x14ac:dyDescent="0.35">
      <c r="A688" s="1"/>
      <c r="B688" s="2"/>
    </row>
    <row r="689" spans="1:2" x14ac:dyDescent="0.35">
      <c r="A689" s="1"/>
      <c r="B689" s="2"/>
    </row>
    <row r="690" spans="1:2" x14ac:dyDescent="0.35">
      <c r="A690" s="1"/>
      <c r="B690" s="2"/>
    </row>
    <row r="691" spans="1:2" x14ac:dyDescent="0.35">
      <c r="A691" s="1"/>
      <c r="B691" s="2"/>
    </row>
    <row r="692" spans="1:2" x14ac:dyDescent="0.35">
      <c r="A692" s="1"/>
      <c r="B692" s="2"/>
    </row>
    <row r="693" spans="1:2" x14ac:dyDescent="0.35">
      <c r="A693" s="1"/>
      <c r="B693" s="2"/>
    </row>
    <row r="694" spans="1:2" x14ac:dyDescent="0.35">
      <c r="A694" s="1"/>
      <c r="B694" s="2"/>
    </row>
    <row r="695" spans="1:2" x14ac:dyDescent="0.35">
      <c r="A695" s="1"/>
      <c r="B695" s="2"/>
    </row>
    <row r="696" spans="1:2" x14ac:dyDescent="0.35">
      <c r="A696" s="1"/>
      <c r="B696" s="2"/>
    </row>
    <row r="697" spans="1:2" x14ac:dyDescent="0.35">
      <c r="A697" s="1"/>
      <c r="B697" s="3"/>
    </row>
    <row r="698" spans="1:2" x14ac:dyDescent="0.35">
      <c r="A698" s="1"/>
      <c r="B698" s="2"/>
    </row>
    <row r="699" spans="1:2" x14ac:dyDescent="0.35">
      <c r="A699" s="1"/>
      <c r="B699" s="2"/>
    </row>
    <row r="700" spans="1:2" x14ac:dyDescent="0.35">
      <c r="A700" s="1"/>
      <c r="B700" s="2"/>
    </row>
    <row r="701" spans="1:2" x14ac:dyDescent="0.35">
      <c r="A701" s="1"/>
      <c r="B701" s="2"/>
    </row>
    <row r="702" spans="1:2" x14ac:dyDescent="0.35">
      <c r="A702" s="1"/>
      <c r="B702" s="2"/>
    </row>
    <row r="703" spans="1:2" x14ac:dyDescent="0.35">
      <c r="A703" s="1"/>
      <c r="B703" s="2"/>
    </row>
    <row r="704" spans="1:2" x14ac:dyDescent="0.35">
      <c r="A704" s="1"/>
      <c r="B704" s="2"/>
    </row>
    <row r="705" spans="1:2" x14ac:dyDescent="0.35">
      <c r="A705" s="1"/>
      <c r="B705" s="2"/>
    </row>
    <row r="706" spans="1:2" x14ac:dyDescent="0.35">
      <c r="A706" s="1"/>
      <c r="B706" s="2"/>
    </row>
    <row r="707" spans="1:2" x14ac:dyDescent="0.35">
      <c r="A707" s="1"/>
      <c r="B707" s="2"/>
    </row>
    <row r="708" spans="1:2" x14ac:dyDescent="0.35">
      <c r="A708" s="1"/>
      <c r="B708" s="2"/>
    </row>
    <row r="709" spans="1:2" x14ac:dyDescent="0.35">
      <c r="A709" s="1"/>
      <c r="B709" s="2"/>
    </row>
    <row r="710" spans="1:2" x14ac:dyDescent="0.35">
      <c r="A710" s="1"/>
      <c r="B710" s="2"/>
    </row>
    <row r="711" spans="1:2" x14ac:dyDescent="0.35">
      <c r="A711" s="1"/>
      <c r="B711" s="2"/>
    </row>
    <row r="712" spans="1:2" x14ac:dyDescent="0.35">
      <c r="A712" s="1"/>
      <c r="B712" s="2"/>
    </row>
    <row r="713" spans="1:2" x14ac:dyDescent="0.35">
      <c r="A713" s="1"/>
      <c r="B713" s="2"/>
    </row>
    <row r="714" spans="1:2" x14ac:dyDescent="0.35">
      <c r="A714" s="1"/>
      <c r="B714" s="2"/>
    </row>
    <row r="715" spans="1:2" x14ac:dyDescent="0.35">
      <c r="A715" s="1"/>
      <c r="B715" s="2"/>
    </row>
    <row r="716" spans="1:2" x14ac:dyDescent="0.35">
      <c r="A716" s="1"/>
      <c r="B716" s="2"/>
    </row>
    <row r="717" spans="1:2" x14ac:dyDescent="0.35">
      <c r="A717" s="1"/>
      <c r="B717" s="2"/>
    </row>
    <row r="718" spans="1:2" x14ac:dyDescent="0.35">
      <c r="A718" s="1"/>
      <c r="B718" s="2"/>
    </row>
    <row r="719" spans="1:2" x14ac:dyDescent="0.35">
      <c r="A719" s="1"/>
      <c r="B719" s="2"/>
    </row>
    <row r="720" spans="1:2" x14ac:dyDescent="0.35">
      <c r="A720" s="1"/>
      <c r="B720" s="2"/>
    </row>
    <row r="721" spans="1:2" x14ac:dyDescent="0.35">
      <c r="A721" s="1"/>
      <c r="B721" s="3"/>
    </row>
    <row r="722" spans="1:2" x14ac:dyDescent="0.35">
      <c r="A722" s="1"/>
      <c r="B722" s="2"/>
    </row>
    <row r="723" spans="1:2" x14ac:dyDescent="0.35">
      <c r="A723" s="1"/>
      <c r="B723" s="2"/>
    </row>
    <row r="724" spans="1:2" x14ac:dyDescent="0.35">
      <c r="A724" s="1"/>
      <c r="B724" s="2"/>
    </row>
    <row r="725" spans="1:2" x14ac:dyDescent="0.35">
      <c r="A725" s="1"/>
      <c r="B725" s="2"/>
    </row>
    <row r="726" spans="1:2" x14ac:dyDescent="0.35">
      <c r="A726" s="1"/>
      <c r="B726" s="2"/>
    </row>
    <row r="727" spans="1:2" x14ac:dyDescent="0.35">
      <c r="A727" s="1"/>
      <c r="B727" s="2"/>
    </row>
    <row r="728" spans="1:2" x14ac:dyDescent="0.35">
      <c r="A728" s="1"/>
      <c r="B728" s="2"/>
    </row>
    <row r="729" spans="1:2" x14ac:dyDescent="0.35">
      <c r="A729" s="1"/>
      <c r="B729" s="2"/>
    </row>
    <row r="730" spans="1:2" x14ac:dyDescent="0.35">
      <c r="A730" s="1"/>
      <c r="B730" s="2"/>
    </row>
    <row r="731" spans="1:2" x14ac:dyDescent="0.35">
      <c r="A731" s="1"/>
      <c r="B731" s="2"/>
    </row>
    <row r="732" spans="1:2" x14ac:dyDescent="0.35">
      <c r="A732" s="1"/>
      <c r="B732" s="2"/>
    </row>
    <row r="733" spans="1:2" x14ac:dyDescent="0.35">
      <c r="A733" s="1"/>
      <c r="B733" s="2"/>
    </row>
    <row r="734" spans="1:2" x14ac:dyDescent="0.35">
      <c r="A734" s="1"/>
      <c r="B734" s="2"/>
    </row>
    <row r="735" spans="1:2" x14ac:dyDescent="0.35">
      <c r="A735" s="1"/>
      <c r="B735" s="2"/>
    </row>
    <row r="736" spans="1:2" x14ac:dyDescent="0.35">
      <c r="A736" s="1"/>
      <c r="B736" s="2"/>
    </row>
    <row r="737" spans="1:2" x14ac:dyDescent="0.35">
      <c r="A737" s="1"/>
      <c r="B737" s="2"/>
    </row>
    <row r="738" spans="1:2" x14ac:dyDescent="0.35">
      <c r="A738" s="1"/>
      <c r="B738" s="2"/>
    </row>
    <row r="739" spans="1:2" x14ac:dyDescent="0.35">
      <c r="A739" s="1"/>
      <c r="B739" s="2"/>
    </row>
    <row r="740" spans="1:2" x14ac:dyDescent="0.35">
      <c r="A740" s="1"/>
      <c r="B740" s="2"/>
    </row>
    <row r="741" spans="1:2" x14ac:dyDescent="0.35">
      <c r="A741" s="1"/>
      <c r="B741" s="2"/>
    </row>
    <row r="742" spans="1:2" x14ac:dyDescent="0.35">
      <c r="A742" s="1"/>
      <c r="B742" s="2"/>
    </row>
    <row r="743" spans="1:2" x14ac:dyDescent="0.35">
      <c r="A743" s="1"/>
      <c r="B743" s="2"/>
    </row>
    <row r="744" spans="1:2" x14ac:dyDescent="0.35">
      <c r="A744" s="1"/>
      <c r="B744" s="2"/>
    </row>
    <row r="745" spans="1:2" x14ac:dyDescent="0.35">
      <c r="A745" s="1"/>
      <c r="B745" s="3"/>
    </row>
    <row r="746" spans="1:2" x14ac:dyDescent="0.35">
      <c r="A746" s="1"/>
      <c r="B746" s="2"/>
    </row>
    <row r="747" spans="1:2" x14ac:dyDescent="0.35">
      <c r="A747" s="1"/>
      <c r="B747" s="2"/>
    </row>
    <row r="748" spans="1:2" x14ac:dyDescent="0.35">
      <c r="A748" s="1"/>
      <c r="B748" s="2"/>
    </row>
    <row r="749" spans="1:2" x14ac:dyDescent="0.35">
      <c r="A749" s="1"/>
      <c r="B749" s="2"/>
    </row>
    <row r="750" spans="1:2" x14ac:dyDescent="0.35">
      <c r="A750" s="1"/>
      <c r="B750" s="2"/>
    </row>
    <row r="751" spans="1:2" x14ac:dyDescent="0.35">
      <c r="A751" s="1"/>
      <c r="B751" s="2"/>
    </row>
    <row r="752" spans="1:2" x14ac:dyDescent="0.35">
      <c r="A752" s="1"/>
      <c r="B752" s="2"/>
    </row>
    <row r="753" spans="1:2" x14ac:dyDescent="0.35">
      <c r="A753" s="1"/>
      <c r="B753" s="2"/>
    </row>
    <row r="754" spans="1:2" x14ac:dyDescent="0.35">
      <c r="A754" s="1"/>
      <c r="B754" s="2"/>
    </row>
    <row r="755" spans="1:2" x14ac:dyDescent="0.35">
      <c r="A755" s="1"/>
      <c r="B755" s="2"/>
    </row>
    <row r="756" spans="1:2" x14ac:dyDescent="0.35">
      <c r="A756" s="1"/>
      <c r="B756" s="2"/>
    </row>
    <row r="757" spans="1:2" x14ac:dyDescent="0.35">
      <c r="A757" s="1"/>
      <c r="B757" s="2"/>
    </row>
    <row r="758" spans="1:2" x14ac:dyDescent="0.35">
      <c r="A758" s="1"/>
      <c r="B758" s="2"/>
    </row>
    <row r="759" spans="1:2" x14ac:dyDescent="0.35">
      <c r="A759" s="1"/>
      <c r="B759" s="2"/>
    </row>
    <row r="760" spans="1:2" x14ac:dyDescent="0.35">
      <c r="A760" s="1"/>
      <c r="B760" s="2"/>
    </row>
    <row r="761" spans="1:2" x14ac:dyDescent="0.35">
      <c r="A761" s="1"/>
      <c r="B761" s="2"/>
    </row>
    <row r="762" spans="1:2" x14ac:dyDescent="0.35">
      <c r="A762" s="1"/>
      <c r="B762" s="2"/>
    </row>
    <row r="763" spans="1:2" x14ac:dyDescent="0.35">
      <c r="A763" s="1"/>
      <c r="B763" s="2"/>
    </row>
    <row r="764" spans="1:2" x14ac:dyDescent="0.35">
      <c r="A764" s="1"/>
      <c r="B764" s="2"/>
    </row>
    <row r="765" spans="1:2" x14ac:dyDescent="0.35">
      <c r="A765" s="1"/>
      <c r="B765" s="2"/>
    </row>
    <row r="766" spans="1:2" x14ac:dyDescent="0.35">
      <c r="A766" s="1"/>
      <c r="B766" s="2"/>
    </row>
    <row r="767" spans="1:2" x14ac:dyDescent="0.35">
      <c r="A767" s="1"/>
      <c r="B767" s="2"/>
    </row>
    <row r="768" spans="1:2" x14ac:dyDescent="0.35">
      <c r="A768" s="1"/>
      <c r="B768" s="2"/>
    </row>
    <row r="769" spans="1:2" x14ac:dyDescent="0.35">
      <c r="A769" s="1"/>
      <c r="B769" s="3"/>
    </row>
    <row r="770" spans="1:2" x14ac:dyDescent="0.35">
      <c r="A770" s="1"/>
      <c r="B770" s="2"/>
    </row>
    <row r="771" spans="1:2" x14ac:dyDescent="0.35">
      <c r="A771" s="1"/>
      <c r="B771" s="2"/>
    </row>
    <row r="772" spans="1:2" x14ac:dyDescent="0.35">
      <c r="A772" s="1"/>
      <c r="B772" s="2"/>
    </row>
    <row r="773" spans="1:2" x14ac:dyDescent="0.35">
      <c r="A773" s="1"/>
      <c r="B773" s="2"/>
    </row>
    <row r="774" spans="1:2" x14ac:dyDescent="0.35">
      <c r="A774" s="1"/>
      <c r="B774" s="2"/>
    </row>
    <row r="775" spans="1:2" x14ac:dyDescent="0.35">
      <c r="A775" s="1"/>
      <c r="B775" s="2"/>
    </row>
    <row r="776" spans="1:2" x14ac:dyDescent="0.35">
      <c r="A776" s="1"/>
      <c r="B776" s="2"/>
    </row>
    <row r="777" spans="1:2" x14ac:dyDescent="0.35">
      <c r="A777" s="1"/>
      <c r="B777" s="2"/>
    </row>
    <row r="778" spans="1:2" x14ac:dyDescent="0.35">
      <c r="A778" s="1"/>
      <c r="B778" s="2"/>
    </row>
    <row r="779" spans="1:2" x14ac:dyDescent="0.35">
      <c r="A779" s="1"/>
      <c r="B779" s="2"/>
    </row>
    <row r="780" spans="1:2" x14ac:dyDescent="0.35">
      <c r="A780" s="1"/>
      <c r="B780" s="2"/>
    </row>
    <row r="781" spans="1:2" x14ac:dyDescent="0.35">
      <c r="A781" s="1"/>
      <c r="B781" s="2"/>
    </row>
    <row r="782" spans="1:2" x14ac:dyDescent="0.35">
      <c r="A782" s="1"/>
      <c r="B782" s="2"/>
    </row>
    <row r="783" spans="1:2" x14ac:dyDescent="0.35">
      <c r="A783" s="1"/>
      <c r="B783" s="2"/>
    </row>
    <row r="784" spans="1:2" x14ac:dyDescent="0.35">
      <c r="A784" s="1"/>
      <c r="B784" s="2"/>
    </row>
    <row r="785" spans="1:2" x14ac:dyDescent="0.35">
      <c r="A785" s="1"/>
      <c r="B785" s="2"/>
    </row>
    <row r="786" spans="1:2" x14ac:dyDescent="0.35">
      <c r="A786" s="1"/>
      <c r="B786" s="2"/>
    </row>
    <row r="787" spans="1:2" x14ac:dyDescent="0.35">
      <c r="A787" s="1"/>
      <c r="B787" s="2"/>
    </row>
    <row r="788" spans="1:2" x14ac:dyDescent="0.35">
      <c r="A788" s="1"/>
      <c r="B788" s="2"/>
    </row>
    <row r="789" spans="1:2" x14ac:dyDescent="0.35">
      <c r="A789" s="1"/>
      <c r="B789" s="2"/>
    </row>
    <row r="790" spans="1:2" x14ac:dyDescent="0.35">
      <c r="A790" s="1"/>
      <c r="B790" s="2"/>
    </row>
    <row r="791" spans="1:2" x14ac:dyDescent="0.35">
      <c r="A791" s="1"/>
      <c r="B791" s="2"/>
    </row>
    <row r="792" spans="1:2" x14ac:dyDescent="0.35">
      <c r="A792" s="1"/>
      <c r="B792" s="2"/>
    </row>
    <row r="793" spans="1:2" x14ac:dyDescent="0.35">
      <c r="A793" s="1"/>
      <c r="B793" s="3"/>
    </row>
    <row r="794" spans="1:2" x14ac:dyDescent="0.35">
      <c r="A794" s="1"/>
      <c r="B794" s="2"/>
    </row>
    <row r="795" spans="1:2" x14ac:dyDescent="0.35">
      <c r="A795" s="1"/>
      <c r="B795" s="2"/>
    </row>
    <row r="796" spans="1:2" x14ac:dyDescent="0.35">
      <c r="A796" s="1"/>
      <c r="B796" s="2"/>
    </row>
    <row r="797" spans="1:2" x14ac:dyDescent="0.35">
      <c r="A797" s="1"/>
      <c r="B797" s="2"/>
    </row>
    <row r="798" spans="1:2" x14ac:dyDescent="0.35">
      <c r="A798" s="1"/>
      <c r="B798" s="2"/>
    </row>
    <row r="799" spans="1:2" x14ac:dyDescent="0.35">
      <c r="A799" s="1"/>
      <c r="B799" s="2"/>
    </row>
    <row r="800" spans="1:2" x14ac:dyDescent="0.35">
      <c r="A800" s="1"/>
      <c r="B800" s="2"/>
    </row>
    <row r="801" spans="1:2" x14ac:dyDescent="0.35">
      <c r="A801" s="1"/>
      <c r="B801" s="2"/>
    </row>
    <row r="802" spans="1:2" x14ac:dyDescent="0.35">
      <c r="A802" s="1"/>
      <c r="B802" s="2"/>
    </row>
    <row r="803" spans="1:2" x14ac:dyDescent="0.35">
      <c r="A803" s="1"/>
      <c r="B803" s="2"/>
    </row>
    <row r="804" spans="1:2" x14ac:dyDescent="0.35">
      <c r="A804" s="1"/>
      <c r="B804" s="2"/>
    </row>
    <row r="805" spans="1:2" x14ac:dyDescent="0.35">
      <c r="A805" s="1"/>
      <c r="B805" s="2"/>
    </row>
    <row r="806" spans="1:2" x14ac:dyDescent="0.35">
      <c r="A806" s="1"/>
      <c r="B806" s="2"/>
    </row>
    <row r="807" spans="1:2" x14ac:dyDescent="0.35">
      <c r="A807" s="1"/>
      <c r="B807" s="2"/>
    </row>
    <row r="808" spans="1:2" x14ac:dyDescent="0.35">
      <c r="A808" s="1"/>
      <c r="B808" s="2"/>
    </row>
    <row r="809" spans="1:2" x14ac:dyDescent="0.35">
      <c r="A809" s="1"/>
      <c r="B809" s="2"/>
    </row>
    <row r="810" spans="1:2" x14ac:dyDescent="0.35">
      <c r="A810" s="1"/>
      <c r="B810" s="2"/>
    </row>
    <row r="811" spans="1:2" x14ac:dyDescent="0.35">
      <c r="A811" s="1"/>
      <c r="B811" s="2"/>
    </row>
    <row r="812" spans="1:2" x14ac:dyDescent="0.35">
      <c r="A812" s="1"/>
      <c r="B812" s="2"/>
    </row>
    <row r="813" spans="1:2" x14ac:dyDescent="0.35">
      <c r="A813" s="1"/>
      <c r="B813" s="2"/>
    </row>
    <row r="814" spans="1:2" x14ac:dyDescent="0.35">
      <c r="A814" s="1"/>
      <c r="B814" s="2"/>
    </row>
    <row r="815" spans="1:2" x14ac:dyDescent="0.35">
      <c r="A815" s="1"/>
      <c r="B815" s="2"/>
    </row>
    <row r="816" spans="1:2" x14ac:dyDescent="0.35">
      <c r="A816" s="1"/>
      <c r="B816" s="2"/>
    </row>
    <row r="817" spans="1:2" x14ac:dyDescent="0.35">
      <c r="A817" s="1"/>
      <c r="B817" s="3"/>
    </row>
    <row r="818" spans="1:2" x14ac:dyDescent="0.35">
      <c r="A818" s="1"/>
      <c r="B818" s="2"/>
    </row>
    <row r="819" spans="1:2" x14ac:dyDescent="0.35">
      <c r="A819" s="1"/>
      <c r="B819" s="2"/>
    </row>
    <row r="820" spans="1:2" x14ac:dyDescent="0.35">
      <c r="A820" s="1"/>
      <c r="B820" s="2"/>
    </row>
    <row r="821" spans="1:2" x14ac:dyDescent="0.35">
      <c r="A821" s="1"/>
      <c r="B821" s="2"/>
    </row>
    <row r="822" spans="1:2" x14ac:dyDescent="0.35">
      <c r="A822" s="1"/>
      <c r="B822" s="2"/>
    </row>
    <row r="823" spans="1:2" x14ac:dyDescent="0.35">
      <c r="A823" s="1"/>
      <c r="B823" s="2"/>
    </row>
    <row r="824" spans="1:2" x14ac:dyDescent="0.35">
      <c r="A824" s="1"/>
      <c r="B824" s="2"/>
    </row>
    <row r="825" spans="1:2" x14ac:dyDescent="0.35">
      <c r="A825" s="1"/>
      <c r="B825" s="2"/>
    </row>
    <row r="826" spans="1:2" x14ac:dyDescent="0.35">
      <c r="A826" s="1"/>
      <c r="B826" s="2"/>
    </row>
    <row r="827" spans="1:2" x14ac:dyDescent="0.35">
      <c r="A827" s="1"/>
      <c r="B827" s="2"/>
    </row>
    <row r="828" spans="1:2" x14ac:dyDescent="0.35">
      <c r="A828" s="1"/>
      <c r="B828" s="2"/>
    </row>
    <row r="829" spans="1:2" x14ac:dyDescent="0.35">
      <c r="A829" s="1"/>
      <c r="B829" s="2"/>
    </row>
    <row r="830" spans="1:2" x14ac:dyDescent="0.35">
      <c r="A830" s="1"/>
      <c r="B830" s="2"/>
    </row>
    <row r="831" spans="1:2" x14ac:dyDescent="0.35">
      <c r="A831" s="1"/>
      <c r="B831" s="2"/>
    </row>
    <row r="832" spans="1:2" x14ac:dyDescent="0.35">
      <c r="A832" s="1"/>
      <c r="B832" s="2"/>
    </row>
    <row r="833" spans="1:2" x14ac:dyDescent="0.35">
      <c r="A833" s="1"/>
      <c r="B833" s="2"/>
    </row>
    <row r="834" spans="1:2" x14ac:dyDescent="0.35">
      <c r="A834" s="1"/>
      <c r="B834" s="2"/>
    </row>
    <row r="835" spans="1:2" x14ac:dyDescent="0.35">
      <c r="A835" s="1"/>
      <c r="B835" s="2"/>
    </row>
    <row r="836" spans="1:2" x14ac:dyDescent="0.35">
      <c r="A836" s="1"/>
      <c r="B836" s="2"/>
    </row>
    <row r="837" spans="1:2" x14ac:dyDescent="0.35">
      <c r="A837" s="1"/>
      <c r="B837" s="2"/>
    </row>
    <row r="838" spans="1:2" x14ac:dyDescent="0.35">
      <c r="A838" s="1"/>
      <c r="B838" s="2"/>
    </row>
    <row r="839" spans="1:2" x14ac:dyDescent="0.35">
      <c r="A839" s="1"/>
      <c r="B839" s="2"/>
    </row>
    <row r="840" spans="1:2" x14ac:dyDescent="0.35">
      <c r="A840" s="1"/>
      <c r="B840" s="2"/>
    </row>
    <row r="841" spans="1:2" x14ac:dyDescent="0.35">
      <c r="A841" s="1"/>
      <c r="B841" s="3"/>
    </row>
    <row r="842" spans="1:2" x14ac:dyDescent="0.35">
      <c r="A842" s="1"/>
      <c r="B842" s="2"/>
    </row>
    <row r="843" spans="1:2" x14ac:dyDescent="0.35">
      <c r="A843" s="1"/>
      <c r="B843" s="2"/>
    </row>
    <row r="844" spans="1:2" x14ac:dyDescent="0.35">
      <c r="A844" s="1"/>
      <c r="B844" s="2"/>
    </row>
    <row r="845" spans="1:2" x14ac:dyDescent="0.35">
      <c r="A845" s="1"/>
      <c r="B845" s="2"/>
    </row>
    <row r="846" spans="1:2" x14ac:dyDescent="0.35">
      <c r="A846" s="1"/>
      <c r="B846" s="2"/>
    </row>
    <row r="847" spans="1:2" x14ac:dyDescent="0.35">
      <c r="A847" s="1"/>
      <c r="B847" s="2"/>
    </row>
    <row r="848" spans="1:2" x14ac:dyDescent="0.35">
      <c r="A848" s="1"/>
      <c r="B848" s="2"/>
    </row>
    <row r="849" spans="1:2" x14ac:dyDescent="0.35">
      <c r="A849" s="1"/>
      <c r="B849" s="2"/>
    </row>
    <row r="850" spans="1:2" x14ac:dyDescent="0.35">
      <c r="A850" s="1"/>
      <c r="B850" s="2"/>
    </row>
    <row r="851" spans="1:2" x14ac:dyDescent="0.35">
      <c r="A851" s="1"/>
      <c r="B851" s="2"/>
    </row>
    <row r="852" spans="1:2" x14ac:dyDescent="0.35">
      <c r="A852" s="1"/>
      <c r="B852" s="2"/>
    </row>
    <row r="853" spans="1:2" x14ac:dyDescent="0.35">
      <c r="A853" s="1"/>
      <c r="B853" s="2"/>
    </row>
    <row r="854" spans="1:2" x14ac:dyDescent="0.35">
      <c r="A854" s="1"/>
      <c r="B854" s="2"/>
    </row>
    <row r="855" spans="1:2" x14ac:dyDescent="0.35">
      <c r="A855" s="1"/>
      <c r="B855" s="2"/>
    </row>
    <row r="856" spans="1:2" x14ac:dyDescent="0.35">
      <c r="A856" s="1"/>
      <c r="B856" s="2"/>
    </row>
    <row r="857" spans="1:2" x14ac:dyDescent="0.35">
      <c r="A857" s="1"/>
      <c r="B857" s="2"/>
    </row>
    <row r="858" spans="1:2" x14ac:dyDescent="0.35">
      <c r="A858" s="1"/>
      <c r="B858" s="2"/>
    </row>
    <row r="859" spans="1:2" x14ac:dyDescent="0.35">
      <c r="A859" s="1"/>
      <c r="B859" s="2"/>
    </row>
    <row r="860" spans="1:2" x14ac:dyDescent="0.35">
      <c r="A860" s="1"/>
      <c r="B860" s="2"/>
    </row>
    <row r="861" spans="1:2" x14ac:dyDescent="0.35">
      <c r="A861" s="1"/>
      <c r="B861" s="2"/>
    </row>
    <row r="862" spans="1:2" x14ac:dyDescent="0.35">
      <c r="A862" s="1"/>
      <c r="B862" s="2"/>
    </row>
    <row r="863" spans="1:2" x14ac:dyDescent="0.35">
      <c r="A863" s="1"/>
      <c r="B863" s="2"/>
    </row>
    <row r="864" spans="1:2" x14ac:dyDescent="0.35">
      <c r="A864" s="1"/>
      <c r="B864" s="2"/>
    </row>
    <row r="865" spans="1:2" x14ac:dyDescent="0.35">
      <c r="A865" s="1"/>
      <c r="B865" s="3"/>
    </row>
    <row r="866" spans="1:2" x14ac:dyDescent="0.35">
      <c r="A866" s="1"/>
      <c r="B866" s="2"/>
    </row>
    <row r="867" spans="1:2" x14ac:dyDescent="0.35">
      <c r="A867" s="1"/>
      <c r="B867" s="2"/>
    </row>
    <row r="868" spans="1:2" x14ac:dyDescent="0.35">
      <c r="A868" s="1"/>
      <c r="B868" s="2"/>
    </row>
    <row r="869" spans="1:2" x14ac:dyDescent="0.35">
      <c r="A869" s="1"/>
      <c r="B869" s="2"/>
    </row>
    <row r="870" spans="1:2" x14ac:dyDescent="0.35">
      <c r="A870" s="1"/>
      <c r="B870" s="2"/>
    </row>
    <row r="871" spans="1:2" x14ac:dyDescent="0.35">
      <c r="A871" s="1"/>
      <c r="B871" s="2"/>
    </row>
    <row r="872" spans="1:2" x14ac:dyDescent="0.35">
      <c r="A872" s="1"/>
      <c r="B872" s="2"/>
    </row>
    <row r="873" spans="1:2" x14ac:dyDescent="0.35">
      <c r="A873" s="1"/>
      <c r="B873" s="2"/>
    </row>
    <row r="874" spans="1:2" x14ac:dyDescent="0.35">
      <c r="A874" s="1"/>
      <c r="B874" s="2"/>
    </row>
    <row r="875" spans="1:2" x14ac:dyDescent="0.35">
      <c r="A875" s="1"/>
      <c r="B875" s="2"/>
    </row>
    <row r="876" spans="1:2" x14ac:dyDescent="0.35">
      <c r="A876" s="1"/>
      <c r="B876" s="2"/>
    </row>
    <row r="877" spans="1:2" x14ac:dyDescent="0.35">
      <c r="A877" s="1"/>
      <c r="B877" s="2"/>
    </row>
    <row r="878" spans="1:2" x14ac:dyDescent="0.35">
      <c r="A878" s="1"/>
      <c r="B878" s="2"/>
    </row>
    <row r="879" spans="1:2" x14ac:dyDescent="0.35">
      <c r="A879" s="1"/>
      <c r="B879" s="2"/>
    </row>
    <row r="880" spans="1:2" x14ac:dyDescent="0.35">
      <c r="A880" s="1"/>
      <c r="B880" s="2"/>
    </row>
    <row r="881" spans="1:2" x14ac:dyDescent="0.35">
      <c r="A881" s="1"/>
      <c r="B881" s="2"/>
    </row>
    <row r="882" spans="1:2" x14ac:dyDescent="0.35">
      <c r="A882" s="1"/>
      <c r="B882" s="2"/>
    </row>
    <row r="883" spans="1:2" x14ac:dyDescent="0.35">
      <c r="A883" s="1"/>
      <c r="B883" s="2"/>
    </row>
    <row r="884" spans="1:2" x14ac:dyDescent="0.35">
      <c r="A884" s="1"/>
      <c r="B884" s="2"/>
    </row>
    <row r="885" spans="1:2" x14ac:dyDescent="0.35">
      <c r="A885" s="1"/>
      <c r="B885" s="2"/>
    </row>
    <row r="886" spans="1:2" x14ac:dyDescent="0.35">
      <c r="A886" s="1"/>
      <c r="B886" s="2"/>
    </row>
    <row r="887" spans="1:2" x14ac:dyDescent="0.35">
      <c r="A887" s="1"/>
      <c r="B887" s="2"/>
    </row>
    <row r="888" spans="1:2" x14ac:dyDescent="0.35">
      <c r="A888" s="1"/>
      <c r="B888" s="2"/>
    </row>
    <row r="889" spans="1:2" x14ac:dyDescent="0.35">
      <c r="A889" s="1"/>
      <c r="B889" s="3"/>
    </row>
    <row r="890" spans="1:2" x14ac:dyDescent="0.35">
      <c r="A890" s="1"/>
      <c r="B890" s="2"/>
    </row>
    <row r="891" spans="1:2" x14ac:dyDescent="0.35">
      <c r="A891" s="1"/>
      <c r="B891" s="2"/>
    </row>
    <row r="892" spans="1:2" x14ac:dyDescent="0.35">
      <c r="A892" s="1"/>
      <c r="B892" s="2"/>
    </row>
    <row r="893" spans="1:2" x14ac:dyDescent="0.35">
      <c r="A893" s="1"/>
      <c r="B893" s="2"/>
    </row>
    <row r="894" spans="1:2" x14ac:dyDescent="0.35">
      <c r="A894" s="1"/>
      <c r="B894" s="2"/>
    </row>
    <row r="895" spans="1:2" x14ac:dyDescent="0.35">
      <c r="A895" s="1"/>
      <c r="B895" s="2"/>
    </row>
    <row r="896" spans="1:2" x14ac:dyDescent="0.35">
      <c r="A896" s="1"/>
      <c r="B896" s="2"/>
    </row>
    <row r="897" spans="1:2" x14ac:dyDescent="0.35">
      <c r="A897" s="1"/>
      <c r="B897" s="2"/>
    </row>
    <row r="898" spans="1:2" x14ac:dyDescent="0.35">
      <c r="A898" s="1"/>
      <c r="B898" s="2"/>
    </row>
    <row r="899" spans="1:2" x14ac:dyDescent="0.35">
      <c r="A899" s="1"/>
      <c r="B899" s="2"/>
    </row>
    <row r="900" spans="1:2" x14ac:dyDescent="0.35">
      <c r="A900" s="1"/>
      <c r="B900" s="2"/>
    </row>
    <row r="901" spans="1:2" x14ac:dyDescent="0.35">
      <c r="A901" s="1"/>
      <c r="B901" s="2"/>
    </row>
    <row r="902" spans="1:2" x14ac:dyDescent="0.35">
      <c r="A902" s="1"/>
      <c r="B902" s="2"/>
    </row>
    <row r="903" spans="1:2" x14ac:dyDescent="0.35">
      <c r="A903" s="1"/>
      <c r="B903" s="2"/>
    </row>
    <row r="904" spans="1:2" x14ac:dyDescent="0.35">
      <c r="A904" s="1"/>
      <c r="B904" s="2"/>
    </row>
    <row r="905" spans="1:2" x14ac:dyDescent="0.35">
      <c r="A905" s="1"/>
      <c r="B905" s="2"/>
    </row>
    <row r="906" spans="1:2" x14ac:dyDescent="0.35">
      <c r="A906" s="1"/>
      <c r="B906" s="2"/>
    </row>
    <row r="907" spans="1:2" x14ac:dyDescent="0.35">
      <c r="A907" s="1"/>
      <c r="B907" s="2"/>
    </row>
    <row r="908" spans="1:2" x14ac:dyDescent="0.35">
      <c r="A908" s="1"/>
      <c r="B908" s="2"/>
    </row>
    <row r="909" spans="1:2" x14ac:dyDescent="0.35">
      <c r="A909" s="1"/>
      <c r="B909" s="2"/>
    </row>
    <row r="910" spans="1:2" x14ac:dyDescent="0.35">
      <c r="A910" s="1"/>
      <c r="B910" s="2"/>
    </row>
    <row r="911" spans="1:2" x14ac:dyDescent="0.35">
      <c r="A911" s="1"/>
      <c r="B911" s="2"/>
    </row>
    <row r="912" spans="1:2" x14ac:dyDescent="0.35">
      <c r="A912" s="1"/>
      <c r="B912" s="2"/>
    </row>
    <row r="913" spans="1:2" x14ac:dyDescent="0.35">
      <c r="A913" s="1"/>
      <c r="B913" s="3"/>
    </row>
    <row r="914" spans="1:2" x14ac:dyDescent="0.35">
      <c r="A914" s="1"/>
      <c r="B914" s="2"/>
    </row>
    <row r="915" spans="1:2" x14ac:dyDescent="0.35">
      <c r="A915" s="1"/>
      <c r="B915" s="2"/>
    </row>
    <row r="916" spans="1:2" x14ac:dyDescent="0.35">
      <c r="A916" s="1"/>
      <c r="B916" s="2"/>
    </row>
    <row r="917" spans="1:2" x14ac:dyDescent="0.35">
      <c r="A917" s="1"/>
      <c r="B917" s="2"/>
    </row>
    <row r="918" spans="1:2" x14ac:dyDescent="0.35">
      <c r="A918" s="1"/>
      <c r="B918" s="2"/>
    </row>
    <row r="919" spans="1:2" x14ac:dyDescent="0.35">
      <c r="A919" s="1"/>
      <c r="B919" s="2"/>
    </row>
    <row r="920" spans="1:2" x14ac:dyDescent="0.35">
      <c r="A920" s="1"/>
      <c r="B920" s="2"/>
    </row>
    <row r="921" spans="1:2" x14ac:dyDescent="0.35">
      <c r="A921" s="1"/>
      <c r="B921" s="2"/>
    </row>
    <row r="922" spans="1:2" x14ac:dyDescent="0.35">
      <c r="A922" s="1"/>
      <c r="B922" s="2"/>
    </row>
    <row r="923" spans="1:2" x14ac:dyDescent="0.35">
      <c r="A923" s="1"/>
      <c r="B923" s="2"/>
    </row>
    <row r="924" spans="1:2" x14ac:dyDescent="0.35">
      <c r="A924" s="1"/>
      <c r="B924" s="2"/>
    </row>
    <row r="925" spans="1:2" x14ac:dyDescent="0.35">
      <c r="A925" s="1"/>
      <c r="B925" s="2"/>
    </row>
    <row r="926" spans="1:2" x14ac:dyDescent="0.35">
      <c r="A926" s="1"/>
      <c r="B926" s="2"/>
    </row>
    <row r="927" spans="1:2" x14ac:dyDescent="0.35">
      <c r="A927" s="1"/>
      <c r="B927" s="2"/>
    </row>
    <row r="928" spans="1:2" x14ac:dyDescent="0.35">
      <c r="A928" s="1"/>
      <c r="B928" s="2"/>
    </row>
    <row r="929" spans="1:2" x14ac:dyDescent="0.35">
      <c r="A929" s="1"/>
      <c r="B929" s="2"/>
    </row>
    <row r="930" spans="1:2" x14ac:dyDescent="0.35">
      <c r="A930" s="1"/>
      <c r="B930" s="2"/>
    </row>
    <row r="931" spans="1:2" x14ac:dyDescent="0.35">
      <c r="A931" s="1"/>
      <c r="B931" s="2"/>
    </row>
    <row r="932" spans="1:2" x14ac:dyDescent="0.35">
      <c r="A932" s="1"/>
      <c r="B932" s="2"/>
    </row>
    <row r="933" spans="1:2" x14ac:dyDescent="0.35">
      <c r="A933" s="1"/>
      <c r="B933" s="2"/>
    </row>
    <row r="934" spans="1:2" x14ac:dyDescent="0.35">
      <c r="A934" s="1"/>
      <c r="B934" s="2"/>
    </row>
    <row r="935" spans="1:2" x14ac:dyDescent="0.35">
      <c r="A935" s="1"/>
      <c r="B935" s="2"/>
    </row>
    <row r="936" spans="1:2" x14ac:dyDescent="0.35">
      <c r="A936" s="1"/>
      <c r="B936" s="2"/>
    </row>
    <row r="937" spans="1:2" x14ac:dyDescent="0.35">
      <c r="A937" s="1"/>
      <c r="B937" s="3"/>
    </row>
    <row r="938" spans="1:2" x14ac:dyDescent="0.35">
      <c r="A938" s="1"/>
      <c r="B938" s="2"/>
    </row>
    <row r="939" spans="1:2" x14ac:dyDescent="0.35">
      <c r="A939" s="1"/>
      <c r="B939" s="2"/>
    </row>
    <row r="940" spans="1:2" x14ac:dyDescent="0.35">
      <c r="A940" s="1"/>
      <c r="B940" s="2"/>
    </row>
    <row r="941" spans="1:2" x14ac:dyDescent="0.35">
      <c r="A941" s="1"/>
      <c r="B941" s="2"/>
    </row>
    <row r="942" spans="1:2" x14ac:dyDescent="0.35">
      <c r="A942" s="1"/>
      <c r="B942" s="2"/>
    </row>
    <row r="943" spans="1:2" x14ac:dyDescent="0.35">
      <c r="A943" s="1"/>
      <c r="B943" s="2"/>
    </row>
    <row r="944" spans="1:2" x14ac:dyDescent="0.35">
      <c r="A944" s="1"/>
      <c r="B944" s="2"/>
    </row>
    <row r="945" spans="1:2" x14ac:dyDescent="0.35">
      <c r="A945" s="1"/>
      <c r="B945" s="2"/>
    </row>
    <row r="946" spans="1:2" x14ac:dyDescent="0.35">
      <c r="A946" s="1"/>
      <c r="B946" s="2"/>
    </row>
    <row r="947" spans="1:2" x14ac:dyDescent="0.35">
      <c r="A947" s="1"/>
      <c r="B947" s="2"/>
    </row>
    <row r="948" spans="1:2" x14ac:dyDescent="0.35">
      <c r="A948" s="1"/>
      <c r="B948" s="2"/>
    </row>
    <row r="949" spans="1:2" x14ac:dyDescent="0.35">
      <c r="A949" s="1"/>
      <c r="B949" s="2"/>
    </row>
    <row r="950" spans="1:2" x14ac:dyDescent="0.35">
      <c r="A950" s="1"/>
      <c r="B950" s="2"/>
    </row>
    <row r="951" spans="1:2" x14ac:dyDescent="0.35">
      <c r="A951" s="1"/>
      <c r="B951" s="2"/>
    </row>
    <row r="952" spans="1:2" x14ac:dyDescent="0.35">
      <c r="A952" s="1"/>
      <c r="B952" s="2"/>
    </row>
    <row r="953" spans="1:2" x14ac:dyDescent="0.35">
      <c r="A953" s="1"/>
      <c r="B953" s="2"/>
    </row>
    <row r="954" spans="1:2" x14ac:dyDescent="0.35">
      <c r="A954" s="1"/>
      <c r="B954" s="2"/>
    </row>
    <row r="955" spans="1:2" x14ac:dyDescent="0.35">
      <c r="A955" s="1"/>
      <c r="B955" s="2"/>
    </row>
    <row r="956" spans="1:2" x14ac:dyDescent="0.35">
      <c r="A956" s="1"/>
      <c r="B956" s="2"/>
    </row>
    <row r="957" spans="1:2" x14ac:dyDescent="0.35">
      <c r="A957" s="1"/>
      <c r="B957" s="2"/>
    </row>
    <row r="958" spans="1:2" x14ac:dyDescent="0.35">
      <c r="A958" s="1"/>
      <c r="B958" s="2"/>
    </row>
    <row r="959" spans="1:2" x14ac:dyDescent="0.35">
      <c r="A959" s="1"/>
      <c r="B959" s="2"/>
    </row>
    <row r="960" spans="1:2" x14ac:dyDescent="0.35">
      <c r="A960" s="1"/>
      <c r="B960" s="2"/>
    </row>
    <row r="961" spans="1:2" x14ac:dyDescent="0.35">
      <c r="A961" s="1"/>
      <c r="B961" s="3"/>
    </row>
    <row r="962" spans="1:2" x14ac:dyDescent="0.35">
      <c r="A962" s="1"/>
      <c r="B962" s="2"/>
    </row>
    <row r="963" spans="1:2" x14ac:dyDescent="0.35">
      <c r="A963" s="1"/>
      <c r="B963" s="2"/>
    </row>
    <row r="964" spans="1:2" x14ac:dyDescent="0.35">
      <c r="A964" s="1"/>
      <c r="B964" s="2"/>
    </row>
    <row r="965" spans="1:2" x14ac:dyDescent="0.35">
      <c r="A965" s="1"/>
      <c r="B965" s="2"/>
    </row>
    <row r="966" spans="1:2" x14ac:dyDescent="0.35">
      <c r="A966" s="1"/>
      <c r="B966" s="2"/>
    </row>
    <row r="967" spans="1:2" x14ac:dyDescent="0.35">
      <c r="A967" s="1"/>
      <c r="B967" s="2"/>
    </row>
    <row r="968" spans="1:2" x14ac:dyDescent="0.35">
      <c r="A968" s="1"/>
      <c r="B968" s="2"/>
    </row>
    <row r="969" spans="1:2" x14ac:dyDescent="0.35">
      <c r="A969" s="1"/>
      <c r="B969" s="2"/>
    </row>
    <row r="970" spans="1:2" x14ac:dyDescent="0.35">
      <c r="A970" s="1"/>
      <c r="B970" s="2"/>
    </row>
    <row r="971" spans="1:2" x14ac:dyDescent="0.35">
      <c r="A971" s="1"/>
      <c r="B971" s="2"/>
    </row>
    <row r="972" spans="1:2" x14ac:dyDescent="0.35">
      <c r="A972" s="1"/>
      <c r="B972" s="2"/>
    </row>
    <row r="973" spans="1:2" x14ac:dyDescent="0.35">
      <c r="A973" s="1"/>
      <c r="B973" s="2"/>
    </row>
    <row r="974" spans="1:2" x14ac:dyDescent="0.35">
      <c r="A974" s="1"/>
      <c r="B974" s="2"/>
    </row>
    <row r="975" spans="1:2" x14ac:dyDescent="0.35">
      <c r="A975" s="1"/>
      <c r="B975" s="2"/>
    </row>
    <row r="976" spans="1:2" x14ac:dyDescent="0.35">
      <c r="A976" s="1"/>
      <c r="B976" s="2"/>
    </row>
    <row r="977" spans="1:2" x14ac:dyDescent="0.35">
      <c r="A977" s="1"/>
      <c r="B977" s="2"/>
    </row>
    <row r="978" spans="1:2" x14ac:dyDescent="0.35">
      <c r="A978" s="1"/>
      <c r="B978" s="2"/>
    </row>
    <row r="979" spans="1:2" x14ac:dyDescent="0.35">
      <c r="A979" s="1"/>
      <c r="B979" s="2"/>
    </row>
    <row r="980" spans="1:2" x14ac:dyDescent="0.35">
      <c r="A980" s="1"/>
      <c r="B980" s="2"/>
    </row>
    <row r="981" spans="1:2" x14ac:dyDescent="0.35">
      <c r="A981" s="1"/>
      <c r="B981" s="2"/>
    </row>
    <row r="982" spans="1:2" x14ac:dyDescent="0.35">
      <c r="A982" s="1"/>
      <c r="B982" s="2"/>
    </row>
    <row r="983" spans="1:2" x14ac:dyDescent="0.35">
      <c r="A983" s="1"/>
      <c r="B983" s="2"/>
    </row>
    <row r="984" spans="1:2" x14ac:dyDescent="0.35">
      <c r="A984" s="1"/>
      <c r="B984" s="2"/>
    </row>
    <row r="985" spans="1:2" x14ac:dyDescent="0.35">
      <c r="A985" s="1"/>
      <c r="B985" s="3"/>
    </row>
    <row r="986" spans="1:2" x14ac:dyDescent="0.35">
      <c r="A986" s="1"/>
      <c r="B986" s="2"/>
    </row>
    <row r="987" spans="1:2" x14ac:dyDescent="0.35">
      <c r="A987" s="1"/>
      <c r="B987" s="2"/>
    </row>
    <row r="988" spans="1:2" x14ac:dyDescent="0.35">
      <c r="A988" s="1"/>
      <c r="B988" s="2"/>
    </row>
    <row r="989" spans="1:2" x14ac:dyDescent="0.35">
      <c r="A989" s="1"/>
      <c r="B989" s="2"/>
    </row>
    <row r="990" spans="1:2" x14ac:dyDescent="0.35">
      <c r="A990" s="1"/>
      <c r="B990" s="2"/>
    </row>
    <row r="991" spans="1:2" x14ac:dyDescent="0.35">
      <c r="A991" s="1"/>
      <c r="B991" s="2"/>
    </row>
    <row r="992" spans="1:2" x14ac:dyDescent="0.35">
      <c r="A992" s="1"/>
      <c r="B992" s="2"/>
    </row>
    <row r="993" spans="1:2" x14ac:dyDescent="0.35">
      <c r="A993" s="1"/>
      <c r="B993" s="2"/>
    </row>
    <row r="994" spans="1:2" x14ac:dyDescent="0.35">
      <c r="A994" s="1"/>
      <c r="B994" s="2"/>
    </row>
    <row r="995" spans="1:2" x14ac:dyDescent="0.35">
      <c r="A995" s="1"/>
      <c r="B995" s="2"/>
    </row>
    <row r="996" spans="1:2" x14ac:dyDescent="0.35">
      <c r="A996" s="1"/>
      <c r="B996" s="2"/>
    </row>
    <row r="997" spans="1:2" x14ac:dyDescent="0.35">
      <c r="A997" s="1"/>
      <c r="B997" s="2"/>
    </row>
    <row r="998" spans="1:2" x14ac:dyDescent="0.35">
      <c r="A998" s="1"/>
      <c r="B998" s="2"/>
    </row>
    <row r="999" spans="1:2" x14ac:dyDescent="0.35">
      <c r="A999" s="1"/>
      <c r="B999" s="2"/>
    </row>
    <row r="1000" spans="1:2" x14ac:dyDescent="0.35">
      <c r="A1000" s="1"/>
      <c r="B1000" s="2"/>
    </row>
    <row r="1001" spans="1:2" x14ac:dyDescent="0.35">
      <c r="A1001" s="1"/>
      <c r="B1001" s="2"/>
    </row>
    <row r="1002" spans="1:2" x14ac:dyDescent="0.35">
      <c r="A1002" s="1"/>
      <c r="B1002" s="2"/>
    </row>
    <row r="1003" spans="1:2" x14ac:dyDescent="0.35">
      <c r="A1003" s="1"/>
      <c r="B1003" s="2"/>
    </row>
    <row r="1004" spans="1:2" x14ac:dyDescent="0.35">
      <c r="A1004" s="1"/>
      <c r="B1004" s="2"/>
    </row>
    <row r="1005" spans="1:2" x14ac:dyDescent="0.35">
      <c r="A1005" s="1"/>
      <c r="B1005" s="2"/>
    </row>
    <row r="1006" spans="1:2" x14ac:dyDescent="0.35">
      <c r="A1006" s="1"/>
      <c r="B1006" s="2"/>
    </row>
    <row r="1007" spans="1:2" x14ac:dyDescent="0.35">
      <c r="A1007" s="1"/>
      <c r="B1007" s="2"/>
    </row>
    <row r="1008" spans="1:2" x14ac:dyDescent="0.35">
      <c r="A1008" s="1"/>
      <c r="B1008" s="2"/>
    </row>
    <row r="1009" spans="1:2" x14ac:dyDescent="0.35">
      <c r="A1009" s="1"/>
      <c r="B1009" s="3"/>
    </row>
    <row r="1010" spans="1:2" x14ac:dyDescent="0.35">
      <c r="A1010" s="1"/>
      <c r="B1010" s="2"/>
    </row>
    <row r="1011" spans="1:2" x14ac:dyDescent="0.35">
      <c r="A1011" s="1"/>
      <c r="B1011" s="2"/>
    </row>
    <row r="1012" spans="1:2" x14ac:dyDescent="0.35">
      <c r="A1012" s="1"/>
      <c r="B1012" s="2"/>
    </row>
    <row r="1013" spans="1:2" x14ac:dyDescent="0.35">
      <c r="A1013" s="1"/>
      <c r="B1013" s="2"/>
    </row>
    <row r="1014" spans="1:2" x14ac:dyDescent="0.35">
      <c r="A1014" s="1"/>
      <c r="B1014" s="2"/>
    </row>
    <row r="1015" spans="1:2" x14ac:dyDescent="0.35">
      <c r="A1015" s="1"/>
      <c r="B1015" s="2"/>
    </row>
    <row r="1016" spans="1:2" x14ac:dyDescent="0.35">
      <c r="A1016" s="1"/>
      <c r="B1016" s="2"/>
    </row>
    <row r="1017" spans="1:2" x14ac:dyDescent="0.35">
      <c r="A1017" s="1"/>
      <c r="B1017" s="2"/>
    </row>
    <row r="1018" spans="1:2" x14ac:dyDescent="0.35">
      <c r="A1018" s="1"/>
      <c r="B1018" s="2"/>
    </row>
    <row r="1019" spans="1:2" x14ac:dyDescent="0.35">
      <c r="A1019" s="1"/>
      <c r="B1019" s="2"/>
    </row>
    <row r="1020" spans="1:2" x14ac:dyDescent="0.35">
      <c r="A1020" s="1"/>
      <c r="B1020" s="2"/>
    </row>
    <row r="1021" spans="1:2" x14ac:dyDescent="0.35">
      <c r="A1021" s="1"/>
      <c r="B1021" s="2"/>
    </row>
    <row r="1022" spans="1:2" x14ac:dyDescent="0.35">
      <c r="A1022" s="1"/>
      <c r="B1022" s="2"/>
    </row>
    <row r="1023" spans="1:2" x14ac:dyDescent="0.35">
      <c r="A1023" s="1"/>
      <c r="B1023" s="2"/>
    </row>
    <row r="1024" spans="1:2" x14ac:dyDescent="0.35">
      <c r="A1024" s="1"/>
      <c r="B1024" s="2"/>
    </row>
    <row r="1025" spans="1:2" x14ac:dyDescent="0.35">
      <c r="A1025" s="1"/>
      <c r="B1025" s="2"/>
    </row>
    <row r="1026" spans="1:2" x14ac:dyDescent="0.35">
      <c r="A1026" s="1"/>
      <c r="B1026" s="2"/>
    </row>
    <row r="1027" spans="1:2" x14ac:dyDescent="0.35">
      <c r="A1027" s="1"/>
      <c r="B1027" s="2"/>
    </row>
    <row r="1028" spans="1:2" x14ac:dyDescent="0.35">
      <c r="A1028" s="1"/>
      <c r="B1028" s="2"/>
    </row>
    <row r="1029" spans="1:2" x14ac:dyDescent="0.35">
      <c r="A1029" s="1"/>
      <c r="B1029" s="2"/>
    </row>
    <row r="1030" spans="1:2" x14ac:dyDescent="0.35">
      <c r="A1030" s="1"/>
      <c r="B1030" s="2"/>
    </row>
    <row r="1031" spans="1:2" x14ac:dyDescent="0.35">
      <c r="A1031" s="1"/>
      <c r="B1031" s="2"/>
    </row>
    <row r="1032" spans="1:2" x14ac:dyDescent="0.35">
      <c r="A1032" s="1"/>
      <c r="B1032" s="2"/>
    </row>
    <row r="1033" spans="1:2" x14ac:dyDescent="0.35">
      <c r="A1033" s="1"/>
      <c r="B1033" s="3"/>
    </row>
    <row r="1034" spans="1:2" x14ac:dyDescent="0.35">
      <c r="A1034" s="1"/>
      <c r="B1034" s="2"/>
    </row>
    <row r="1035" spans="1:2" x14ac:dyDescent="0.35">
      <c r="A1035" s="1"/>
      <c r="B1035" s="2"/>
    </row>
    <row r="1036" spans="1:2" x14ac:dyDescent="0.35">
      <c r="A1036" s="1"/>
      <c r="B1036" s="2"/>
    </row>
    <row r="1037" spans="1:2" x14ac:dyDescent="0.35">
      <c r="A1037" s="1"/>
      <c r="B1037" s="2"/>
    </row>
    <row r="1038" spans="1:2" x14ac:dyDescent="0.35">
      <c r="A1038" s="1"/>
      <c r="B1038" s="2"/>
    </row>
    <row r="1039" spans="1:2" x14ac:dyDescent="0.35">
      <c r="A1039" s="1"/>
      <c r="B1039" s="2"/>
    </row>
    <row r="1040" spans="1:2" x14ac:dyDescent="0.35">
      <c r="A1040" s="1"/>
      <c r="B1040" s="2"/>
    </row>
    <row r="1041" spans="1:2" x14ac:dyDescent="0.35">
      <c r="A1041" s="1"/>
      <c r="B1041" s="2"/>
    </row>
    <row r="1042" spans="1:2" x14ac:dyDescent="0.35">
      <c r="A1042" s="1"/>
      <c r="B1042" s="2"/>
    </row>
    <row r="1043" spans="1:2" x14ac:dyDescent="0.35">
      <c r="A1043" s="1"/>
      <c r="B1043" s="2"/>
    </row>
    <row r="1044" spans="1:2" x14ac:dyDescent="0.35">
      <c r="A1044" s="1"/>
      <c r="B1044" s="2"/>
    </row>
    <row r="1045" spans="1:2" x14ac:dyDescent="0.35">
      <c r="A1045" s="1"/>
      <c r="B1045" s="2"/>
    </row>
    <row r="1046" spans="1:2" x14ac:dyDescent="0.35">
      <c r="A1046" s="1"/>
      <c r="B1046" s="2"/>
    </row>
    <row r="1047" spans="1:2" x14ac:dyDescent="0.35">
      <c r="A1047" s="1"/>
      <c r="B1047" s="2"/>
    </row>
    <row r="1048" spans="1:2" x14ac:dyDescent="0.35">
      <c r="A1048" s="1"/>
      <c r="B1048" s="2"/>
    </row>
    <row r="1049" spans="1:2" x14ac:dyDescent="0.35">
      <c r="A1049" s="1"/>
      <c r="B1049" s="2"/>
    </row>
    <row r="1050" spans="1:2" x14ac:dyDescent="0.35">
      <c r="A1050" s="1"/>
      <c r="B1050" s="2"/>
    </row>
    <row r="1051" spans="1:2" x14ac:dyDescent="0.35">
      <c r="A1051" s="1"/>
      <c r="B1051" s="2"/>
    </row>
    <row r="1052" spans="1:2" x14ac:dyDescent="0.35">
      <c r="A1052" s="1"/>
      <c r="B1052" s="2"/>
    </row>
    <row r="1053" spans="1:2" x14ac:dyDescent="0.35">
      <c r="A1053" s="1"/>
      <c r="B1053" s="2"/>
    </row>
    <row r="1054" spans="1:2" x14ac:dyDescent="0.35">
      <c r="A1054" s="1"/>
      <c r="B1054" s="2"/>
    </row>
    <row r="1055" spans="1:2" x14ac:dyDescent="0.35">
      <c r="A1055" s="1"/>
      <c r="B1055" s="2"/>
    </row>
    <row r="1056" spans="1:2" x14ac:dyDescent="0.35">
      <c r="A1056" s="1"/>
      <c r="B1056" s="2"/>
    </row>
    <row r="1057" spans="1:2" x14ac:dyDescent="0.35">
      <c r="A1057" s="1"/>
      <c r="B1057" s="3"/>
    </row>
    <row r="1058" spans="1:2" x14ac:dyDescent="0.35">
      <c r="A1058" s="1"/>
      <c r="B1058" s="2"/>
    </row>
    <row r="1059" spans="1:2" x14ac:dyDescent="0.35">
      <c r="A1059" s="1"/>
      <c r="B1059" s="2"/>
    </row>
    <row r="1060" spans="1:2" x14ac:dyDescent="0.35">
      <c r="A1060" s="1"/>
      <c r="B1060" s="2"/>
    </row>
    <row r="1061" spans="1:2" x14ac:dyDescent="0.35">
      <c r="A1061" s="1"/>
      <c r="B1061" s="2"/>
    </row>
    <row r="1062" spans="1:2" x14ac:dyDescent="0.35">
      <c r="A1062" s="1"/>
      <c r="B1062" s="2"/>
    </row>
    <row r="1063" spans="1:2" x14ac:dyDescent="0.35">
      <c r="A1063" s="1"/>
      <c r="B1063" s="2"/>
    </row>
    <row r="1064" spans="1:2" x14ac:dyDescent="0.35">
      <c r="A1064" s="1"/>
      <c r="B1064" s="2"/>
    </row>
    <row r="1065" spans="1:2" x14ac:dyDescent="0.35">
      <c r="A1065" s="1"/>
      <c r="B1065" s="2"/>
    </row>
    <row r="1066" spans="1:2" x14ac:dyDescent="0.35">
      <c r="A1066" s="1"/>
      <c r="B1066" s="2"/>
    </row>
    <row r="1067" spans="1:2" x14ac:dyDescent="0.35">
      <c r="A1067" s="1"/>
      <c r="B1067" s="2"/>
    </row>
    <row r="1068" spans="1:2" x14ac:dyDescent="0.35">
      <c r="A1068" s="1"/>
      <c r="B1068" s="2"/>
    </row>
    <row r="1069" spans="1:2" x14ac:dyDescent="0.35">
      <c r="A1069" s="1"/>
      <c r="B1069" s="2"/>
    </row>
    <row r="1070" spans="1:2" x14ac:dyDescent="0.35">
      <c r="A1070" s="1"/>
      <c r="B1070" s="2"/>
    </row>
    <row r="1071" spans="1:2" x14ac:dyDescent="0.35">
      <c r="A1071" s="1"/>
      <c r="B1071" s="2"/>
    </row>
    <row r="1072" spans="1:2" x14ac:dyDescent="0.35">
      <c r="A1072" s="1"/>
      <c r="B1072" s="2"/>
    </row>
    <row r="1073" spans="1:2" x14ac:dyDescent="0.35">
      <c r="A1073" s="1"/>
      <c r="B1073" s="2"/>
    </row>
    <row r="1074" spans="1:2" x14ac:dyDescent="0.35">
      <c r="A1074" s="1"/>
      <c r="B1074" s="2"/>
    </row>
    <row r="1075" spans="1:2" x14ac:dyDescent="0.35">
      <c r="A1075" s="1"/>
      <c r="B1075" s="2"/>
    </row>
    <row r="1076" spans="1:2" x14ac:dyDescent="0.35">
      <c r="A1076" s="1"/>
      <c r="B1076" s="2"/>
    </row>
    <row r="1077" spans="1:2" x14ac:dyDescent="0.35">
      <c r="A1077" s="1"/>
      <c r="B1077" s="2"/>
    </row>
    <row r="1078" spans="1:2" x14ac:dyDescent="0.35">
      <c r="A1078" s="1"/>
      <c r="B1078" s="2"/>
    </row>
    <row r="1079" spans="1:2" x14ac:dyDescent="0.35">
      <c r="A1079" s="1"/>
      <c r="B1079" s="2"/>
    </row>
    <row r="1080" spans="1:2" x14ac:dyDescent="0.35">
      <c r="A1080" s="1"/>
      <c r="B1080" s="2"/>
    </row>
    <row r="1081" spans="1:2" x14ac:dyDescent="0.35">
      <c r="A1081" s="1"/>
      <c r="B1081" s="3"/>
    </row>
    <row r="1082" spans="1:2" x14ac:dyDescent="0.35">
      <c r="A1082" s="1"/>
      <c r="B1082" s="2"/>
    </row>
    <row r="1083" spans="1:2" x14ac:dyDescent="0.35">
      <c r="A1083" s="1"/>
      <c r="B1083" s="2"/>
    </row>
    <row r="1084" spans="1:2" x14ac:dyDescent="0.35">
      <c r="A1084" s="1"/>
      <c r="B1084" s="2"/>
    </row>
    <row r="1085" spans="1:2" x14ac:dyDescent="0.35">
      <c r="A1085" s="1"/>
      <c r="B1085" s="2"/>
    </row>
    <row r="1086" spans="1:2" x14ac:dyDescent="0.35">
      <c r="A1086" s="1"/>
      <c r="B1086" s="2"/>
    </row>
    <row r="1087" spans="1:2" x14ac:dyDescent="0.35">
      <c r="A1087" s="1"/>
      <c r="B1087" s="2"/>
    </row>
    <row r="1088" spans="1:2" x14ac:dyDescent="0.35">
      <c r="A1088" s="1"/>
      <c r="B1088" s="2"/>
    </row>
    <row r="1089" spans="1:2" x14ac:dyDescent="0.35">
      <c r="A1089" s="1"/>
      <c r="B1089" s="2"/>
    </row>
    <row r="1090" spans="1:2" x14ac:dyDescent="0.35">
      <c r="A1090" s="1"/>
      <c r="B1090" s="2"/>
    </row>
    <row r="1091" spans="1:2" x14ac:dyDescent="0.35">
      <c r="A1091" s="1"/>
      <c r="B1091" s="2"/>
    </row>
    <row r="1092" spans="1:2" x14ac:dyDescent="0.35">
      <c r="A1092" s="1"/>
      <c r="B1092" s="2"/>
    </row>
    <row r="1093" spans="1:2" x14ac:dyDescent="0.35">
      <c r="A1093" s="1"/>
      <c r="B1093" s="2"/>
    </row>
    <row r="1094" spans="1:2" x14ac:dyDescent="0.35">
      <c r="A1094" s="1"/>
      <c r="B1094" s="2"/>
    </row>
    <row r="1095" spans="1:2" x14ac:dyDescent="0.35">
      <c r="A1095" s="1"/>
      <c r="B1095" s="2"/>
    </row>
    <row r="1096" spans="1:2" x14ac:dyDescent="0.35">
      <c r="A1096" s="1"/>
      <c r="B1096" s="2"/>
    </row>
    <row r="1097" spans="1:2" x14ac:dyDescent="0.35">
      <c r="A1097" s="1"/>
      <c r="B1097" s="2"/>
    </row>
    <row r="1098" spans="1:2" x14ac:dyDescent="0.35">
      <c r="A1098" s="1"/>
      <c r="B1098" s="2"/>
    </row>
    <row r="1099" spans="1:2" x14ac:dyDescent="0.35">
      <c r="A1099" s="1"/>
      <c r="B1099" s="2"/>
    </row>
    <row r="1100" spans="1:2" x14ac:dyDescent="0.35">
      <c r="A1100" s="1"/>
      <c r="B1100" s="2"/>
    </row>
    <row r="1101" spans="1:2" x14ac:dyDescent="0.35">
      <c r="A1101" s="1"/>
      <c r="B1101" s="2"/>
    </row>
    <row r="1102" spans="1:2" x14ac:dyDescent="0.35">
      <c r="A1102" s="1"/>
      <c r="B1102" s="2"/>
    </row>
    <row r="1103" spans="1:2" x14ac:dyDescent="0.35">
      <c r="A1103" s="1"/>
      <c r="B1103" s="2"/>
    </row>
    <row r="1104" spans="1:2" x14ac:dyDescent="0.35">
      <c r="A1104" s="1"/>
      <c r="B1104" s="2"/>
    </row>
    <row r="1105" spans="1:2" x14ac:dyDescent="0.35">
      <c r="A1105" s="1"/>
      <c r="B1105" s="3"/>
    </row>
    <row r="1106" spans="1:2" x14ac:dyDescent="0.35">
      <c r="A1106" s="1"/>
      <c r="B1106" s="2"/>
    </row>
    <row r="1107" spans="1:2" x14ac:dyDescent="0.35">
      <c r="A1107" s="1"/>
      <c r="B1107" s="2"/>
    </row>
    <row r="1108" spans="1:2" x14ac:dyDescent="0.35">
      <c r="A1108" s="1"/>
      <c r="B1108" s="2"/>
    </row>
    <row r="1109" spans="1:2" x14ac:dyDescent="0.35">
      <c r="A1109" s="1"/>
      <c r="B1109" s="2"/>
    </row>
    <row r="1110" spans="1:2" x14ac:dyDescent="0.35">
      <c r="A1110" s="1"/>
      <c r="B1110" s="2"/>
    </row>
    <row r="1111" spans="1:2" x14ac:dyDescent="0.35">
      <c r="A1111" s="1"/>
      <c r="B1111" s="2"/>
    </row>
    <row r="1112" spans="1:2" x14ac:dyDescent="0.35">
      <c r="A1112" s="1"/>
      <c r="B1112" s="2"/>
    </row>
    <row r="1113" spans="1:2" x14ac:dyDescent="0.35">
      <c r="A1113" s="1"/>
      <c r="B1113" s="2"/>
    </row>
    <row r="1114" spans="1:2" x14ac:dyDescent="0.35">
      <c r="A1114" s="1"/>
      <c r="B1114" s="2"/>
    </row>
    <row r="1115" spans="1:2" x14ac:dyDescent="0.35">
      <c r="A1115" s="1"/>
      <c r="B1115" s="2"/>
    </row>
    <row r="1116" spans="1:2" x14ac:dyDescent="0.35">
      <c r="A1116" s="1"/>
      <c r="B1116" s="2"/>
    </row>
    <row r="1117" spans="1:2" x14ac:dyDescent="0.35">
      <c r="A1117" s="1"/>
      <c r="B1117" s="2"/>
    </row>
    <row r="1118" spans="1:2" x14ac:dyDescent="0.35">
      <c r="A1118" s="1"/>
      <c r="B1118" s="2"/>
    </row>
    <row r="1119" spans="1:2" x14ac:dyDescent="0.35">
      <c r="A1119" s="1"/>
      <c r="B1119" s="2"/>
    </row>
    <row r="1120" spans="1:2" x14ac:dyDescent="0.35">
      <c r="A1120" s="1"/>
      <c r="B1120" s="2"/>
    </row>
    <row r="1121" spans="1:2" x14ac:dyDescent="0.35">
      <c r="A1121" s="1"/>
      <c r="B1121" s="2"/>
    </row>
    <row r="1122" spans="1:2" x14ac:dyDescent="0.35">
      <c r="A1122" s="1"/>
      <c r="B1122" s="2"/>
    </row>
    <row r="1123" spans="1:2" x14ac:dyDescent="0.35">
      <c r="A1123" s="1"/>
      <c r="B1123" s="2"/>
    </row>
    <row r="1124" spans="1:2" x14ac:dyDescent="0.35">
      <c r="A1124" s="1"/>
      <c r="B1124" s="2"/>
    </row>
    <row r="1125" spans="1:2" x14ac:dyDescent="0.35">
      <c r="A1125" s="1"/>
      <c r="B1125" s="2"/>
    </row>
    <row r="1126" spans="1:2" x14ac:dyDescent="0.35">
      <c r="A1126" s="1"/>
      <c r="B1126" s="2"/>
    </row>
    <row r="1127" spans="1:2" x14ac:dyDescent="0.35">
      <c r="A1127" s="1"/>
      <c r="B1127" s="2"/>
    </row>
    <row r="1128" spans="1:2" x14ac:dyDescent="0.35">
      <c r="A1128" s="1"/>
      <c r="B1128" s="2"/>
    </row>
    <row r="1129" spans="1:2" x14ac:dyDescent="0.35">
      <c r="A1129" s="1"/>
      <c r="B1129" s="3"/>
    </row>
    <row r="1130" spans="1:2" x14ac:dyDescent="0.35">
      <c r="A1130" s="1"/>
      <c r="B1130" s="2"/>
    </row>
    <row r="1131" spans="1:2" x14ac:dyDescent="0.35">
      <c r="A1131" s="1"/>
      <c r="B1131" s="2"/>
    </row>
    <row r="1132" spans="1:2" x14ac:dyDescent="0.35">
      <c r="A1132" s="1"/>
      <c r="B1132" s="2"/>
    </row>
    <row r="1133" spans="1:2" x14ac:dyDescent="0.35">
      <c r="A1133" s="1"/>
      <c r="B1133" s="2"/>
    </row>
    <row r="1134" spans="1:2" x14ac:dyDescent="0.35">
      <c r="A1134" s="1"/>
      <c r="B1134" s="2"/>
    </row>
    <row r="1135" spans="1:2" x14ac:dyDescent="0.35">
      <c r="A1135" s="1"/>
      <c r="B1135" s="2"/>
    </row>
    <row r="1136" spans="1:2" x14ac:dyDescent="0.35">
      <c r="A1136" s="1"/>
      <c r="B1136" s="2"/>
    </row>
    <row r="1137" spans="1:2" x14ac:dyDescent="0.35">
      <c r="A1137" s="1"/>
      <c r="B1137" s="2"/>
    </row>
    <row r="1138" spans="1:2" x14ac:dyDescent="0.35">
      <c r="A1138" s="1"/>
      <c r="B1138" s="2"/>
    </row>
    <row r="1139" spans="1:2" x14ac:dyDescent="0.35">
      <c r="A1139" s="1"/>
      <c r="B1139" s="2"/>
    </row>
    <row r="1140" spans="1:2" x14ac:dyDescent="0.35">
      <c r="A1140" s="1"/>
      <c r="B1140" s="2"/>
    </row>
    <row r="1141" spans="1:2" x14ac:dyDescent="0.35">
      <c r="A1141" s="1"/>
      <c r="B1141" s="2"/>
    </row>
    <row r="1142" spans="1:2" x14ac:dyDescent="0.35">
      <c r="A1142" s="1"/>
      <c r="B1142" s="2"/>
    </row>
    <row r="1143" spans="1:2" x14ac:dyDescent="0.35">
      <c r="A1143" s="1"/>
      <c r="B1143" s="2"/>
    </row>
    <row r="1144" spans="1:2" x14ac:dyDescent="0.35">
      <c r="A1144" s="1"/>
      <c r="B1144" s="2"/>
    </row>
    <row r="1145" spans="1:2" x14ac:dyDescent="0.35">
      <c r="A1145" s="1"/>
      <c r="B1145" s="2"/>
    </row>
    <row r="1146" spans="1:2" x14ac:dyDescent="0.35">
      <c r="A1146" s="1"/>
      <c r="B1146" s="2"/>
    </row>
    <row r="1147" spans="1:2" x14ac:dyDescent="0.35">
      <c r="A1147" s="1"/>
      <c r="B1147" s="2"/>
    </row>
    <row r="1148" spans="1:2" x14ac:dyDescent="0.35">
      <c r="A1148" s="1"/>
      <c r="B1148" s="2"/>
    </row>
    <row r="1149" spans="1:2" x14ac:dyDescent="0.35">
      <c r="A1149" s="1"/>
      <c r="B1149" s="2"/>
    </row>
    <row r="1150" spans="1:2" x14ac:dyDescent="0.35">
      <c r="A1150" s="1"/>
      <c r="B1150" s="2"/>
    </row>
    <row r="1151" spans="1:2" x14ac:dyDescent="0.35">
      <c r="A1151" s="1"/>
      <c r="B1151" s="2"/>
    </row>
    <row r="1152" spans="1:2" x14ac:dyDescent="0.35">
      <c r="A1152" s="1"/>
      <c r="B1152" s="2"/>
    </row>
    <row r="1153" spans="1:2" x14ac:dyDescent="0.35">
      <c r="A1153" s="1"/>
      <c r="B1153" s="3"/>
    </row>
    <row r="1154" spans="1:2" x14ac:dyDescent="0.35">
      <c r="A1154" s="1"/>
      <c r="B1154" s="2"/>
    </row>
    <row r="1155" spans="1:2" x14ac:dyDescent="0.35">
      <c r="A1155" s="1"/>
      <c r="B1155" s="2"/>
    </row>
    <row r="1156" spans="1:2" x14ac:dyDescent="0.35">
      <c r="A1156" s="1"/>
      <c r="B1156" s="2"/>
    </row>
    <row r="1157" spans="1:2" x14ac:dyDescent="0.35">
      <c r="A1157" s="1"/>
      <c r="B1157" s="2"/>
    </row>
    <row r="1158" spans="1:2" x14ac:dyDescent="0.35">
      <c r="A1158" s="1"/>
      <c r="B1158" s="2"/>
    </row>
    <row r="1159" spans="1:2" x14ac:dyDescent="0.35">
      <c r="A1159" s="1"/>
      <c r="B1159" s="2"/>
    </row>
    <row r="1160" spans="1:2" x14ac:dyDescent="0.35">
      <c r="A1160" s="1"/>
      <c r="B1160" s="2"/>
    </row>
    <row r="1161" spans="1:2" x14ac:dyDescent="0.35">
      <c r="A1161" s="1"/>
      <c r="B1161" s="2"/>
    </row>
    <row r="1162" spans="1:2" x14ac:dyDescent="0.35">
      <c r="A1162" s="1"/>
      <c r="B1162" s="2"/>
    </row>
    <row r="1163" spans="1:2" x14ac:dyDescent="0.35">
      <c r="A1163" s="1"/>
      <c r="B1163" s="2"/>
    </row>
    <row r="1164" spans="1:2" x14ac:dyDescent="0.35">
      <c r="A1164" s="1"/>
      <c r="B1164" s="2"/>
    </row>
    <row r="1165" spans="1:2" x14ac:dyDescent="0.35">
      <c r="A1165" s="1"/>
      <c r="B1165" s="2"/>
    </row>
    <row r="1166" spans="1:2" x14ac:dyDescent="0.35">
      <c r="A1166" s="1"/>
      <c r="B1166" s="2"/>
    </row>
    <row r="1167" spans="1:2" x14ac:dyDescent="0.35">
      <c r="A1167" s="1"/>
      <c r="B1167" s="2"/>
    </row>
    <row r="1168" spans="1:2" x14ac:dyDescent="0.35">
      <c r="A1168" s="1"/>
      <c r="B1168" s="2"/>
    </row>
    <row r="1169" spans="1:2" x14ac:dyDescent="0.35">
      <c r="A1169" s="1"/>
      <c r="B1169" s="2"/>
    </row>
    <row r="1170" spans="1:2" x14ac:dyDescent="0.35">
      <c r="A1170" s="1"/>
      <c r="B1170" s="2"/>
    </row>
    <row r="1171" spans="1:2" x14ac:dyDescent="0.35">
      <c r="A1171" s="1"/>
      <c r="B1171" s="2"/>
    </row>
    <row r="1172" spans="1:2" x14ac:dyDescent="0.35">
      <c r="A1172" s="1"/>
      <c r="B1172" s="2"/>
    </row>
    <row r="1173" spans="1:2" x14ac:dyDescent="0.35">
      <c r="A1173" s="1"/>
      <c r="B1173" s="2"/>
    </row>
    <row r="1174" spans="1:2" x14ac:dyDescent="0.35">
      <c r="A1174" s="1"/>
      <c r="B1174" s="2"/>
    </row>
    <row r="1175" spans="1:2" x14ac:dyDescent="0.35">
      <c r="A1175" s="1"/>
      <c r="B1175" s="2"/>
    </row>
    <row r="1176" spans="1:2" x14ac:dyDescent="0.35">
      <c r="A1176" s="1"/>
      <c r="B1176" s="2"/>
    </row>
    <row r="1177" spans="1:2" x14ac:dyDescent="0.35">
      <c r="A1177" s="1"/>
      <c r="B1177" s="3"/>
    </row>
    <row r="1178" spans="1:2" x14ac:dyDescent="0.35">
      <c r="A1178" s="1"/>
      <c r="B1178" s="2"/>
    </row>
    <row r="1179" spans="1:2" x14ac:dyDescent="0.35">
      <c r="A1179" s="1"/>
      <c r="B1179" s="2"/>
    </row>
    <row r="1180" spans="1:2" x14ac:dyDescent="0.35">
      <c r="A1180" s="1"/>
      <c r="B1180" s="2"/>
    </row>
    <row r="1181" spans="1:2" x14ac:dyDescent="0.35">
      <c r="A1181" s="1"/>
      <c r="B1181" s="2"/>
    </row>
    <row r="1182" spans="1:2" x14ac:dyDescent="0.35">
      <c r="A1182" s="1"/>
      <c r="B1182" s="2"/>
    </row>
    <row r="1183" spans="1:2" x14ac:dyDescent="0.35">
      <c r="A1183" s="1"/>
      <c r="B1183" s="2"/>
    </row>
    <row r="1184" spans="1:2" x14ac:dyDescent="0.35">
      <c r="A1184" s="1"/>
      <c r="B1184" s="2"/>
    </row>
    <row r="1185" spans="1:2" x14ac:dyDescent="0.35">
      <c r="A1185" s="1"/>
      <c r="B1185" s="2"/>
    </row>
    <row r="1186" spans="1:2" x14ac:dyDescent="0.35">
      <c r="A1186" s="1"/>
      <c r="B1186" s="2"/>
    </row>
    <row r="1187" spans="1:2" x14ac:dyDescent="0.35">
      <c r="A1187" s="1"/>
      <c r="B1187" s="2"/>
    </row>
    <row r="1188" spans="1:2" x14ac:dyDescent="0.35">
      <c r="A1188" s="1"/>
      <c r="B1188" s="2"/>
    </row>
    <row r="1189" spans="1:2" x14ac:dyDescent="0.35">
      <c r="A1189" s="1"/>
      <c r="B1189" s="2"/>
    </row>
    <row r="1190" spans="1:2" x14ac:dyDescent="0.35">
      <c r="A1190" s="1"/>
      <c r="B1190" s="2"/>
    </row>
    <row r="1191" spans="1:2" x14ac:dyDescent="0.35">
      <c r="A1191" s="1"/>
      <c r="B1191" s="2"/>
    </row>
    <row r="1192" spans="1:2" x14ac:dyDescent="0.35">
      <c r="A1192" s="1"/>
      <c r="B1192" s="2"/>
    </row>
    <row r="1193" spans="1:2" x14ac:dyDescent="0.35">
      <c r="A1193" s="1"/>
      <c r="B1193" s="2"/>
    </row>
    <row r="1194" spans="1:2" x14ac:dyDescent="0.35">
      <c r="A1194" s="1"/>
      <c r="B1194" s="2"/>
    </row>
    <row r="1195" spans="1:2" x14ac:dyDescent="0.35">
      <c r="A1195" s="1"/>
      <c r="B1195" s="2"/>
    </row>
    <row r="1196" spans="1:2" x14ac:dyDescent="0.35">
      <c r="A1196" s="1"/>
      <c r="B1196" s="2"/>
    </row>
    <row r="1197" spans="1:2" x14ac:dyDescent="0.35">
      <c r="A1197" s="1"/>
      <c r="B1197" s="2"/>
    </row>
    <row r="1198" spans="1:2" x14ac:dyDescent="0.35">
      <c r="A1198" s="1"/>
      <c r="B1198" s="2"/>
    </row>
    <row r="1199" spans="1:2" x14ac:dyDescent="0.35">
      <c r="A1199" s="1"/>
      <c r="B1199" s="2"/>
    </row>
    <row r="1200" spans="1:2" x14ac:dyDescent="0.35">
      <c r="A1200" s="1"/>
      <c r="B1200" s="2"/>
    </row>
    <row r="1201" spans="1:2" x14ac:dyDescent="0.35">
      <c r="A1201" s="1"/>
      <c r="B1201" s="3"/>
    </row>
    <row r="1202" spans="1:2" x14ac:dyDescent="0.35">
      <c r="A1202" s="1"/>
      <c r="B1202" s="2"/>
    </row>
    <row r="1203" spans="1:2" x14ac:dyDescent="0.35">
      <c r="A1203" s="1"/>
      <c r="B1203" s="2"/>
    </row>
    <row r="1204" spans="1:2" x14ac:dyDescent="0.35">
      <c r="A1204" s="1"/>
      <c r="B1204" s="2"/>
    </row>
    <row r="1205" spans="1:2" x14ac:dyDescent="0.35">
      <c r="A1205" s="1"/>
      <c r="B1205" s="2"/>
    </row>
    <row r="1206" spans="1:2" x14ac:dyDescent="0.35">
      <c r="A1206" s="1"/>
      <c r="B1206" s="2"/>
    </row>
    <row r="1207" spans="1:2" x14ac:dyDescent="0.35">
      <c r="A1207" s="1"/>
      <c r="B1207" s="2"/>
    </row>
    <row r="1208" spans="1:2" x14ac:dyDescent="0.35">
      <c r="A1208" s="1"/>
      <c r="B1208" s="2"/>
    </row>
    <row r="1209" spans="1:2" x14ac:dyDescent="0.35">
      <c r="A1209" s="1"/>
      <c r="B1209" s="2"/>
    </row>
    <row r="1210" spans="1:2" x14ac:dyDescent="0.35">
      <c r="A1210" s="1"/>
      <c r="B1210" s="2"/>
    </row>
    <row r="1211" spans="1:2" x14ac:dyDescent="0.35">
      <c r="A1211" s="1"/>
      <c r="B1211" s="2"/>
    </row>
    <row r="1212" spans="1:2" x14ac:dyDescent="0.35">
      <c r="A1212" s="1"/>
      <c r="B1212" s="2"/>
    </row>
    <row r="1213" spans="1:2" x14ac:dyDescent="0.35">
      <c r="A1213" s="1"/>
      <c r="B1213" s="2"/>
    </row>
    <row r="1214" spans="1:2" x14ac:dyDescent="0.35">
      <c r="A1214" s="1"/>
      <c r="B1214" s="2"/>
    </row>
    <row r="1215" spans="1:2" x14ac:dyDescent="0.35">
      <c r="A1215" s="1"/>
      <c r="B1215" s="2"/>
    </row>
    <row r="1216" spans="1:2" x14ac:dyDescent="0.35">
      <c r="A1216" s="1"/>
      <c r="B1216" s="2"/>
    </row>
    <row r="1217" spans="1:2" x14ac:dyDescent="0.35">
      <c r="A1217" s="1"/>
      <c r="B1217" s="2"/>
    </row>
    <row r="1218" spans="1:2" x14ac:dyDescent="0.35">
      <c r="A1218" s="1"/>
      <c r="B1218" s="2"/>
    </row>
    <row r="1219" spans="1:2" x14ac:dyDescent="0.35">
      <c r="A1219" s="1"/>
      <c r="B1219" s="2"/>
    </row>
    <row r="1220" spans="1:2" x14ac:dyDescent="0.35">
      <c r="A1220" s="1"/>
      <c r="B1220" s="2"/>
    </row>
    <row r="1221" spans="1:2" x14ac:dyDescent="0.35">
      <c r="A1221" s="1"/>
      <c r="B1221" s="2"/>
    </row>
    <row r="1222" spans="1:2" x14ac:dyDescent="0.35">
      <c r="A1222" s="1"/>
      <c r="B1222" s="2"/>
    </row>
    <row r="1223" spans="1:2" x14ac:dyDescent="0.35">
      <c r="A1223" s="1"/>
      <c r="B1223" s="2"/>
    </row>
    <row r="1224" spans="1:2" x14ac:dyDescent="0.35">
      <c r="A1224" s="1"/>
      <c r="B1224" s="2"/>
    </row>
    <row r="1225" spans="1:2" x14ac:dyDescent="0.35">
      <c r="A1225" s="1"/>
      <c r="B1225" s="3"/>
    </row>
    <row r="1226" spans="1:2" x14ac:dyDescent="0.35">
      <c r="A1226" s="1"/>
      <c r="B1226" s="2"/>
    </row>
    <row r="1227" spans="1:2" x14ac:dyDescent="0.35">
      <c r="A1227" s="1"/>
      <c r="B1227" s="2"/>
    </row>
    <row r="1228" spans="1:2" x14ac:dyDescent="0.35">
      <c r="A1228" s="1"/>
      <c r="B1228" s="2"/>
    </row>
    <row r="1229" spans="1:2" x14ac:dyDescent="0.35">
      <c r="A1229" s="1"/>
      <c r="B1229" s="2"/>
    </row>
    <row r="1230" spans="1:2" x14ac:dyDescent="0.35">
      <c r="A1230" s="1"/>
      <c r="B1230" s="2"/>
    </row>
    <row r="1231" spans="1:2" x14ac:dyDescent="0.35">
      <c r="A1231" s="1"/>
      <c r="B1231" s="2"/>
    </row>
    <row r="1232" spans="1:2" x14ac:dyDescent="0.35">
      <c r="A1232" s="1"/>
      <c r="B1232" s="2"/>
    </row>
    <row r="1233" spans="1:2" x14ac:dyDescent="0.35">
      <c r="A1233" s="1"/>
      <c r="B1233" s="2"/>
    </row>
    <row r="1234" spans="1:2" x14ac:dyDescent="0.35">
      <c r="A1234" s="1"/>
      <c r="B1234" s="2"/>
    </row>
    <row r="1235" spans="1:2" x14ac:dyDescent="0.35">
      <c r="A1235" s="1"/>
      <c r="B1235" s="2"/>
    </row>
    <row r="1236" spans="1:2" x14ac:dyDescent="0.35">
      <c r="A1236" s="1"/>
      <c r="B1236" s="2"/>
    </row>
    <row r="1237" spans="1:2" x14ac:dyDescent="0.35">
      <c r="A1237" s="1"/>
      <c r="B1237" s="2"/>
    </row>
    <row r="1238" spans="1:2" x14ac:dyDescent="0.35">
      <c r="A1238" s="1"/>
      <c r="B1238" s="2"/>
    </row>
    <row r="1239" spans="1:2" x14ac:dyDescent="0.35">
      <c r="A1239" s="1"/>
      <c r="B1239" s="2"/>
    </row>
    <row r="1240" spans="1:2" x14ac:dyDescent="0.35">
      <c r="A1240" s="1"/>
      <c r="B1240" s="2"/>
    </row>
    <row r="1241" spans="1:2" x14ac:dyDescent="0.35">
      <c r="A1241" s="1"/>
      <c r="B1241" s="2"/>
    </row>
    <row r="1242" spans="1:2" x14ac:dyDescent="0.35">
      <c r="A1242" s="1"/>
      <c r="B1242" s="2"/>
    </row>
    <row r="1243" spans="1:2" x14ac:dyDescent="0.35">
      <c r="A1243" s="1"/>
      <c r="B1243" s="2"/>
    </row>
    <row r="1244" spans="1:2" x14ac:dyDescent="0.35">
      <c r="A1244" s="1"/>
      <c r="B1244" s="2"/>
    </row>
    <row r="1245" spans="1:2" x14ac:dyDescent="0.35">
      <c r="A1245" s="1"/>
      <c r="B1245" s="2"/>
    </row>
    <row r="1246" spans="1:2" x14ac:dyDescent="0.35">
      <c r="A1246" s="1"/>
      <c r="B1246" s="2"/>
    </row>
    <row r="1247" spans="1:2" x14ac:dyDescent="0.35">
      <c r="A1247" s="1"/>
      <c r="B1247" s="2"/>
    </row>
    <row r="1248" spans="1:2" x14ac:dyDescent="0.35">
      <c r="A1248" s="1"/>
      <c r="B1248" s="2"/>
    </row>
    <row r="1249" spans="1:2" x14ac:dyDescent="0.35">
      <c r="A1249" s="1"/>
      <c r="B1249" s="3"/>
    </row>
    <row r="1250" spans="1:2" x14ac:dyDescent="0.35">
      <c r="A1250" s="1"/>
      <c r="B1250" s="2"/>
    </row>
    <row r="1251" spans="1:2" x14ac:dyDescent="0.35">
      <c r="A1251" s="1"/>
      <c r="B1251" s="2"/>
    </row>
    <row r="1252" spans="1:2" x14ac:dyDescent="0.35">
      <c r="A1252" s="1"/>
      <c r="B1252" s="2"/>
    </row>
    <row r="1253" spans="1:2" x14ac:dyDescent="0.35">
      <c r="A1253" s="1"/>
      <c r="B1253" s="2"/>
    </row>
    <row r="1254" spans="1:2" x14ac:dyDescent="0.35">
      <c r="A1254" s="1"/>
      <c r="B1254" s="2"/>
    </row>
    <row r="1255" spans="1:2" x14ac:dyDescent="0.35">
      <c r="A1255" s="1"/>
      <c r="B1255" s="2"/>
    </row>
    <row r="1256" spans="1:2" x14ac:dyDescent="0.35">
      <c r="A1256" s="1"/>
      <c r="B1256" s="2"/>
    </row>
    <row r="1257" spans="1:2" x14ac:dyDescent="0.35">
      <c r="A1257" s="1"/>
      <c r="B1257" s="2"/>
    </row>
    <row r="1258" spans="1:2" x14ac:dyDescent="0.35">
      <c r="A1258" s="1"/>
      <c r="B1258" s="2"/>
    </row>
    <row r="1259" spans="1:2" x14ac:dyDescent="0.35">
      <c r="A1259" s="1"/>
      <c r="B1259" s="2"/>
    </row>
    <row r="1260" spans="1:2" x14ac:dyDescent="0.35">
      <c r="A1260" s="1"/>
      <c r="B1260" s="2"/>
    </row>
    <row r="1261" spans="1:2" x14ac:dyDescent="0.35">
      <c r="A1261" s="1"/>
      <c r="B1261" s="2"/>
    </row>
    <row r="1262" spans="1:2" x14ac:dyDescent="0.35">
      <c r="A1262" s="1"/>
      <c r="B1262" s="2"/>
    </row>
    <row r="1263" spans="1:2" x14ac:dyDescent="0.35">
      <c r="A1263" s="1"/>
      <c r="B1263" s="2"/>
    </row>
    <row r="1264" spans="1:2" x14ac:dyDescent="0.35">
      <c r="A1264" s="1"/>
      <c r="B1264" s="2"/>
    </row>
    <row r="1265" spans="1:2" x14ac:dyDescent="0.35">
      <c r="A1265" s="1"/>
      <c r="B1265" s="2"/>
    </row>
    <row r="1266" spans="1:2" x14ac:dyDescent="0.35">
      <c r="A1266" s="1"/>
      <c r="B1266" s="2"/>
    </row>
    <row r="1267" spans="1:2" x14ac:dyDescent="0.35">
      <c r="A1267" s="1"/>
      <c r="B1267" s="2"/>
    </row>
    <row r="1268" spans="1:2" x14ac:dyDescent="0.35">
      <c r="A1268" s="1"/>
      <c r="B1268" s="2"/>
    </row>
    <row r="1269" spans="1:2" x14ac:dyDescent="0.35">
      <c r="A1269" s="1"/>
      <c r="B1269" s="2"/>
    </row>
    <row r="1270" spans="1:2" x14ac:dyDescent="0.35">
      <c r="A1270" s="1"/>
      <c r="B1270" s="2"/>
    </row>
    <row r="1271" spans="1:2" x14ac:dyDescent="0.35">
      <c r="A1271" s="1"/>
      <c r="B1271" s="2"/>
    </row>
    <row r="1272" spans="1:2" x14ac:dyDescent="0.35">
      <c r="A1272" s="1"/>
      <c r="B1272" s="2"/>
    </row>
    <row r="1273" spans="1:2" x14ac:dyDescent="0.35">
      <c r="A1273" s="1"/>
      <c r="B1273" s="3"/>
    </row>
    <row r="1274" spans="1:2" x14ac:dyDescent="0.35">
      <c r="A1274" s="1"/>
      <c r="B1274" s="2"/>
    </row>
    <row r="1275" spans="1:2" x14ac:dyDescent="0.35">
      <c r="A1275" s="1"/>
      <c r="B1275" s="2"/>
    </row>
    <row r="1276" spans="1:2" x14ac:dyDescent="0.35">
      <c r="A1276" s="1"/>
      <c r="B1276" s="2"/>
    </row>
    <row r="1277" spans="1:2" x14ac:dyDescent="0.35">
      <c r="A1277" s="1"/>
      <c r="B1277" s="2"/>
    </row>
    <row r="1278" spans="1:2" x14ac:dyDescent="0.35">
      <c r="A1278" s="1"/>
      <c r="B1278" s="2"/>
    </row>
    <row r="1279" spans="1:2" x14ac:dyDescent="0.35">
      <c r="A1279" s="1"/>
      <c r="B1279" s="2"/>
    </row>
    <row r="1280" spans="1:2" x14ac:dyDescent="0.35">
      <c r="A1280" s="1"/>
      <c r="B1280" s="2"/>
    </row>
    <row r="1281" spans="1:2" x14ac:dyDescent="0.35">
      <c r="A1281" s="1"/>
      <c r="B1281" s="2"/>
    </row>
    <row r="1282" spans="1:2" x14ac:dyDescent="0.35">
      <c r="A1282" s="1"/>
      <c r="B1282" s="2"/>
    </row>
    <row r="1283" spans="1:2" x14ac:dyDescent="0.35">
      <c r="A1283" s="1"/>
      <c r="B1283" s="2"/>
    </row>
    <row r="1284" spans="1:2" x14ac:dyDescent="0.35">
      <c r="A1284" s="1"/>
      <c r="B1284" s="2"/>
    </row>
    <row r="1285" spans="1:2" x14ac:dyDescent="0.35">
      <c r="A1285" s="1"/>
      <c r="B1285" s="2"/>
    </row>
    <row r="1286" spans="1:2" x14ac:dyDescent="0.35">
      <c r="A1286" s="1"/>
      <c r="B1286" s="2"/>
    </row>
    <row r="1287" spans="1:2" x14ac:dyDescent="0.35">
      <c r="A1287" s="1"/>
      <c r="B1287" s="2"/>
    </row>
    <row r="1288" spans="1:2" x14ac:dyDescent="0.35">
      <c r="A1288" s="1"/>
      <c r="B1288" s="2"/>
    </row>
    <row r="1289" spans="1:2" x14ac:dyDescent="0.35">
      <c r="A1289" s="1"/>
      <c r="B1289" s="2"/>
    </row>
    <row r="1290" spans="1:2" x14ac:dyDescent="0.35">
      <c r="A1290" s="1"/>
      <c r="B1290" s="2"/>
    </row>
    <row r="1291" spans="1:2" x14ac:dyDescent="0.35">
      <c r="A1291" s="1"/>
      <c r="B1291" s="2"/>
    </row>
    <row r="1292" spans="1:2" x14ac:dyDescent="0.35">
      <c r="A1292" s="1"/>
      <c r="B1292" s="2"/>
    </row>
    <row r="1293" spans="1:2" x14ac:dyDescent="0.35">
      <c r="A1293" s="1"/>
      <c r="B1293" s="2"/>
    </row>
    <row r="1294" spans="1:2" x14ac:dyDescent="0.35">
      <c r="A1294" s="1"/>
      <c r="B1294" s="2"/>
    </row>
    <row r="1295" spans="1:2" x14ac:dyDescent="0.35">
      <c r="A1295" s="1"/>
      <c r="B1295" s="2"/>
    </row>
    <row r="1296" spans="1:2" x14ac:dyDescent="0.35">
      <c r="A1296" s="1"/>
      <c r="B1296" s="2"/>
    </row>
    <row r="1297" spans="1:2" x14ac:dyDescent="0.35">
      <c r="A1297" s="1"/>
      <c r="B1297" s="3"/>
    </row>
    <row r="1298" spans="1:2" x14ac:dyDescent="0.35">
      <c r="A1298" s="1"/>
      <c r="B1298" s="2"/>
    </row>
    <row r="1299" spans="1:2" x14ac:dyDescent="0.35">
      <c r="A1299" s="1"/>
      <c r="B1299" s="2"/>
    </row>
    <row r="1300" spans="1:2" x14ac:dyDescent="0.35">
      <c r="A1300" s="1"/>
      <c r="B1300" s="2"/>
    </row>
    <row r="1301" spans="1:2" x14ac:dyDescent="0.35">
      <c r="A1301" s="1"/>
      <c r="B1301" s="2"/>
    </row>
    <row r="1302" spans="1:2" x14ac:dyDescent="0.35">
      <c r="A1302" s="1"/>
      <c r="B1302" s="2"/>
    </row>
    <row r="1303" spans="1:2" x14ac:dyDescent="0.35">
      <c r="A1303" s="1"/>
      <c r="B1303" s="2"/>
    </row>
    <row r="1304" spans="1:2" x14ac:dyDescent="0.35">
      <c r="A1304" s="1"/>
      <c r="B1304" s="2"/>
    </row>
    <row r="1305" spans="1:2" x14ac:dyDescent="0.35">
      <c r="A1305" s="1"/>
      <c r="B1305" s="2"/>
    </row>
    <row r="1306" spans="1:2" x14ac:dyDescent="0.35">
      <c r="A1306" s="1"/>
      <c r="B1306" s="2"/>
    </row>
    <row r="1307" spans="1:2" x14ac:dyDescent="0.35">
      <c r="A1307" s="1"/>
      <c r="B1307" s="2"/>
    </row>
    <row r="1308" spans="1:2" x14ac:dyDescent="0.35">
      <c r="A1308" s="1"/>
      <c r="B1308" s="2"/>
    </row>
    <row r="1309" spans="1:2" x14ac:dyDescent="0.35">
      <c r="A1309" s="1"/>
      <c r="B1309" s="2"/>
    </row>
    <row r="1310" spans="1:2" x14ac:dyDescent="0.35">
      <c r="A1310" s="1"/>
      <c r="B1310" s="2"/>
    </row>
    <row r="1311" spans="1:2" x14ac:dyDescent="0.35">
      <c r="A1311" s="1"/>
      <c r="B1311" s="2"/>
    </row>
    <row r="1312" spans="1:2" x14ac:dyDescent="0.35">
      <c r="A1312" s="1"/>
      <c r="B1312" s="2"/>
    </row>
    <row r="1313" spans="1:2" x14ac:dyDescent="0.35">
      <c r="A1313" s="1"/>
      <c r="B1313" s="2"/>
    </row>
    <row r="1314" spans="1:2" x14ac:dyDescent="0.35">
      <c r="A1314" s="1"/>
      <c r="B1314" s="2"/>
    </row>
    <row r="1315" spans="1:2" x14ac:dyDescent="0.35">
      <c r="A1315" s="1"/>
      <c r="B1315" s="2"/>
    </row>
    <row r="1316" spans="1:2" x14ac:dyDescent="0.35">
      <c r="A1316" s="1"/>
      <c r="B1316" s="2"/>
    </row>
    <row r="1317" spans="1:2" x14ac:dyDescent="0.35">
      <c r="A1317" s="1"/>
      <c r="B1317" s="2"/>
    </row>
    <row r="1318" spans="1:2" x14ac:dyDescent="0.35">
      <c r="A1318" s="1"/>
      <c r="B1318" s="2"/>
    </row>
    <row r="1319" spans="1:2" x14ac:dyDescent="0.35">
      <c r="A1319" s="1"/>
      <c r="B1319" s="2"/>
    </row>
    <row r="1320" spans="1:2" x14ac:dyDescent="0.35">
      <c r="A1320" s="1"/>
      <c r="B1320" s="2"/>
    </row>
    <row r="1321" spans="1:2" x14ac:dyDescent="0.35">
      <c r="A1321" s="1"/>
      <c r="B1321" s="3"/>
    </row>
  </sheetData>
  <sheetProtection algorithmName="SHA-512" hashValue="jjJ2BP2nGVTC5IaY7kP3Za8Amd5CZ0AVt9HAODtI+Pq5M7wVikKZnk3tm21m4kxUr/SbVEFmSPWqdeTNf/aa8Q==" saltValue="NESC71RjhWKCH2tfhmLT1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A824C91C7BA3D42B3FE84EDD3D992A3" ma:contentTypeVersion="12" ma:contentTypeDescription="Create a new document." ma:contentTypeScope="" ma:versionID="f4d85d03346debb5956fdaa798c4e1eb">
  <xsd:schema xmlns:xsd="http://www.w3.org/2001/XMLSchema" xmlns:xs="http://www.w3.org/2001/XMLSchema" xmlns:p="http://schemas.microsoft.com/office/2006/metadata/properties" xmlns:ns2="630ec883-eb4b-488f-8f0d-f9a553edc57c" xmlns:ns3="30f0e4d7-4069-491e-a4f6-565de9913fef" targetNamespace="http://schemas.microsoft.com/office/2006/metadata/properties" ma:root="true" ma:fieldsID="5e9bb42d2eb3d05508c9729ad1fdc296" ns2:_="" ns3:_="">
    <xsd:import namespace="630ec883-eb4b-488f-8f0d-f9a553edc57c"/>
    <xsd:import namespace="30f0e4d7-4069-491e-a4f6-565de9913f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0ec883-eb4b-488f-8f0d-f9a553edc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280ef27-e2c6-4316-a668-c8fd401972f6"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f0e4d7-4069-491e-a4f6-565de9913fe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30ec883-eb4b-488f-8f0d-f9a553edc5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41A504E-04F7-4E5E-ADF2-9EAA9970D16F}">
  <ds:schemaRefs>
    <ds:schemaRef ds:uri="http://schemas.microsoft.com/sharepoint/v3/contenttype/forms"/>
  </ds:schemaRefs>
</ds:datastoreItem>
</file>

<file path=customXml/itemProps2.xml><?xml version="1.0" encoding="utf-8"?>
<ds:datastoreItem xmlns:ds="http://schemas.openxmlformats.org/officeDocument/2006/customXml" ds:itemID="{A9C6A54F-D8CB-4AA0-B00D-9BCFEF3EF1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0ec883-eb4b-488f-8f0d-f9a553edc57c"/>
    <ds:schemaRef ds:uri="30f0e4d7-4069-491e-a4f6-565de9913f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7BABE0-E032-474B-890E-8FE78858F949}">
  <ds:schemaRefs>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purl.org/dc/elements/1.1/"/>
    <ds:schemaRef ds:uri="30f0e4d7-4069-491e-a4f6-565de9913fef"/>
    <ds:schemaRef ds:uri="630ec883-eb4b-488f-8f0d-f9a553edc57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Example ozone analysis</vt:lpstr>
      <vt:lpstr>Full 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Science 7–10 (2023): Data science 2 dataset source and analysis</dc:title>
  <dc:subject/>
  <dc:creator>NSW Education Standards Authority</dc:creator>
  <cp:keywords/>
  <dc:description/>
  <cp:lastModifiedBy>Clare Aston</cp:lastModifiedBy>
  <cp:revision/>
  <dcterms:created xsi:type="dcterms:W3CDTF">2024-07-11T04:24:54Z</dcterms:created>
  <dcterms:modified xsi:type="dcterms:W3CDTF">2024-09-30T00:49:39Z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0x0101002A824C91C7BA3D42B3FE84EDD3D992A3</vt:lpwstr>
  </property>
</Properties>
</file>